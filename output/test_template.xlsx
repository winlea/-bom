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1.xml" ContentType="application/vnd.openxmlformats-officedocument.spreadsheetml.comments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tabRatio="949"/>
  </bookViews>
  <sheets>
    <sheet name="CC01_copy" sheetId="25" r:id="rId1"/>
    <sheet name="Cpk 01_1" sheetId="24" r:id="rId2"/>
  </sheets>
  <externalReferences>
    <externalReference r:id="rId4"/>
  </externalReferences>
  <definedNames>
    <definedName name="Capture.Capture" localSheetId="1">'Cpk 01_1'!Capture.Capture</definedName>
    <definedName name="Capture.Capture">[0]!Capture.Capture</definedName>
    <definedName name="Comm">[1]Constant!$C$2:$E$41</definedName>
    <definedName name="_GoA1" localSheetId="1">'Cpk 01_1'!_GoA1</definedName>
    <definedName name="__GoA1">[0]!__GoA1</definedName>
    <definedName name="_xlnm.Print_Area" localSheetId="1">'Cpk 01_1'!$A$1:$U$108</definedName>
    <definedName name="_xlnm.Print_Titles" localSheetId="1">'Cpk 01_1'!$1:$1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满意的 Microsoft Office 用户</author>
  </authors>
  <commentList>
    <comment ref="T5" authorId="0">
      <text>
        <r>
          <rPr>
            <sz val="9"/>
            <rFont val="宋体"/>
            <charset val="134"/>
          </rPr>
          <t>A run of &lt;n&gt; sequential data points going up has been observed on the average values. This number must be less than 7.</t>
        </r>
      </text>
    </comment>
    <comment ref="T6" authorId="0">
      <text>
        <r>
          <rPr>
            <sz val="9"/>
            <rFont val="宋体"/>
            <charset val="134"/>
          </rPr>
          <t>&lt;n&gt; times the longer trend going up has been detected</t>
        </r>
      </text>
    </comment>
    <comment ref="T7" authorId="0">
      <text>
        <r>
          <rPr>
            <sz val="9"/>
            <rFont val="宋体"/>
            <charset val="134"/>
          </rPr>
          <t>A run of &lt;n&gt; sequential data points going down has been observed on the average values. This number must be less than 7.</t>
        </r>
      </text>
    </comment>
    <comment ref="E8" authorId="0">
      <text>
        <r>
          <rPr>
            <sz val="9"/>
            <rFont val="宋体"/>
            <charset val="134"/>
          </rPr>
          <t>This cell is linked to the information typed on tab 01 PSW</t>
        </r>
      </text>
    </comment>
    <comment ref="K8" authorId="0">
      <text>
        <r>
          <rPr>
            <sz val="9"/>
            <rFont val="宋体"/>
            <charset val="134"/>
          </rPr>
          <t>Type the number of cavities in the mold (if not applicable leave N/A) and press &lt;TAB&gt; key</t>
        </r>
      </text>
    </comment>
    <comment ref="T8" authorId="0">
      <text>
        <r>
          <rPr>
            <sz val="9"/>
            <rFont val="宋体"/>
            <charset val="134"/>
          </rPr>
          <t>&lt;n&gt; times the longer trend going down has been detected</t>
        </r>
      </text>
    </comment>
    <comment ref="E9" authorId="0">
      <text>
        <r>
          <rPr>
            <sz val="9"/>
            <rFont val="宋体"/>
            <charset val="134"/>
          </rPr>
          <t>Describe the characteristic to be studied (specify cavity number when applicable) and press the &lt;TAB&gt; key</t>
        </r>
      </text>
    </comment>
    <comment ref="L9" authorId="0">
      <text>
        <r>
          <rPr>
            <sz val="9"/>
            <rFont val="宋体"/>
            <charset val="134"/>
          </rPr>
          <t>Specify the units used for measurement and press &lt;TAB&gt; key</t>
        </r>
      </text>
    </comment>
    <comment ref="T9" authorId="0">
      <text>
        <r>
          <rPr>
            <sz val="9"/>
            <rFont val="宋体"/>
            <charset val="134"/>
          </rPr>
          <t>How many subgroup average are out of control limits</t>
        </r>
      </text>
    </comment>
    <comment ref="U9" authorId="0">
      <text>
        <r>
          <rPr>
            <sz val="9"/>
            <rFont val="宋体"/>
            <charset val="134"/>
          </rPr>
          <t>How many subgroup range are out of control limits</t>
        </r>
      </text>
    </comment>
    <comment ref="D10" authorId="0">
      <text>
        <r>
          <rPr>
            <sz val="9"/>
            <rFont val="宋体"/>
            <charset val="134"/>
          </rPr>
          <t>Specify the nominal value for the specification and press &lt;TAB&gt; key</t>
        </r>
      </text>
    </comment>
    <comment ref="I10" authorId="0">
      <text>
        <r>
          <rPr>
            <sz val="9"/>
            <rFont val="宋体"/>
            <charset val="134"/>
          </rPr>
          <t>Specify the PLUS value for the specification and press &lt;TAB&gt; key</t>
        </r>
      </text>
    </comment>
    <comment ref="M10" authorId="0">
      <text>
        <r>
          <rPr>
            <sz val="9"/>
            <rFont val="宋体"/>
            <charset val="134"/>
          </rPr>
          <t>Specify the MINUS value for the specification and press &lt;TAB&gt; key</t>
        </r>
      </text>
    </comment>
    <comment ref="E59" authorId="0">
      <text>
        <r>
          <rPr>
            <sz val="9"/>
            <rFont val="宋体"/>
            <charset val="134"/>
          </rPr>
          <t>This cell is linked to the information typed on tab 01 PSW</t>
        </r>
      </text>
    </comment>
    <comment ref="K59" authorId="0">
      <text>
        <r>
          <rPr>
            <sz val="9"/>
            <rFont val="宋体"/>
            <charset val="134"/>
          </rPr>
          <t>Type the number of cavities in the mold (if not applicable leave N/A) and press &lt;TAB&gt; key</t>
        </r>
      </text>
    </comment>
    <comment ref="E60" authorId="0">
      <text>
        <r>
          <rPr>
            <sz val="9"/>
            <rFont val="宋体"/>
            <charset val="134"/>
          </rPr>
          <t>Describe the characteristic to be studied (specify cavity number when applicable) and press the &lt;TAB&gt; key</t>
        </r>
      </text>
    </comment>
    <comment ref="L60" authorId="0">
      <text>
        <r>
          <rPr>
            <sz val="9"/>
            <rFont val="宋体"/>
            <charset val="134"/>
          </rPr>
          <t>Specify the units used for measurement and press &lt;TAB&gt; key</t>
        </r>
      </text>
    </comment>
    <comment ref="D61" authorId="0">
      <text>
        <r>
          <rPr>
            <sz val="9"/>
            <rFont val="宋体"/>
            <charset val="134"/>
          </rPr>
          <t>Specify the nominal value for the specification and press &lt;TAB&gt; key</t>
        </r>
      </text>
    </comment>
    <comment ref="I61" authorId="0">
      <text>
        <r>
          <rPr>
            <sz val="9"/>
            <rFont val="宋体"/>
            <charset val="134"/>
          </rPr>
          <t>Specify the PLUS value for the specification and press &lt;TAB&gt; key</t>
        </r>
      </text>
    </comment>
    <comment ref="M61" authorId="0">
      <text>
        <r>
          <rPr>
            <sz val="9"/>
            <rFont val="宋体"/>
            <charset val="134"/>
          </rPr>
          <t>Specify the MINUS value for the specification and press &lt;TAB&gt; key</t>
        </r>
      </text>
    </comment>
  </commentList>
</comments>
</file>

<file path=xl/sharedStrings.xml><?xml version="1.0" encoding="utf-8"?>
<sst xmlns="http://schemas.openxmlformats.org/spreadsheetml/2006/main" count="247" uniqueCount="214">
  <si>
    <r>
      <t xml:space="preserve">过程能力研究
</t>
    </r>
    <r>
      <rPr>
        <sz val="16"/>
        <rFont val="Arial"/>
        <family val="2"/>
        <charset val="0"/>
      </rPr>
      <t>PROCESS CAPABILITY CERTIFICATION REPORT</t>
    </r>
  </si>
  <si>
    <t>Part Certification</t>
  </si>
  <si>
    <r>
      <t>子组读数</t>
    </r>
    <r>
      <rPr>
        <sz val="10"/>
        <rFont val="Arial"/>
        <family val="2"/>
        <charset val="0"/>
      </rPr>
      <t>Number of readings per sub</t>
    </r>
    <r>
      <rPr>
        <sz val="10"/>
        <rFont val="Arial"/>
        <family val="2"/>
        <charset val="0"/>
      </rPr>
      <t>.</t>
    </r>
  </si>
  <si>
    <r>
      <t>过程信息</t>
    </r>
    <r>
      <rPr>
        <b/>
        <sz val="10"/>
        <color indexed="9"/>
        <rFont val="Arial"/>
        <family val="2"/>
        <charset val="0"/>
      </rPr>
      <t xml:space="preserve">       Process Information</t>
    </r>
  </si>
  <si>
    <t>'01 PSW'!A21</t>
  </si>
  <si>
    <t>'07 CAV'!A6</t>
  </si>
  <si>
    <t>'01 PSW'!H6</t>
  </si>
  <si>
    <t>'01 PSW'!A6</t>
  </si>
  <si>
    <t>'01 PSW'!A14</t>
  </si>
  <si>
    <t>'01 PSW'!D10</t>
  </si>
  <si>
    <t>'01 PSW'!A8</t>
  </si>
  <si>
    <r>
      <t>重要数据点的趋势</t>
    </r>
    <r>
      <rPr>
        <sz val="10"/>
        <rFont val="Arial"/>
        <family val="2"/>
        <charset val="0"/>
      </rPr>
      <t>Significant trends of data points:</t>
    </r>
  </si>
  <si>
    <t>X Chart</t>
  </si>
  <si>
    <t>R Chart</t>
  </si>
  <si>
    <t>X bar</t>
  </si>
  <si>
    <t>Lower R</t>
  </si>
  <si>
    <t>Upper R</t>
  </si>
  <si>
    <t>"</t>
  </si>
  <si>
    <t>AJ04</t>
  </si>
  <si>
    <t>AS04</t>
  </si>
  <si>
    <t>AA3=0 if none</t>
  </si>
  <si>
    <t>LOCATION</t>
  </si>
  <si>
    <r>
      <t>工厂</t>
    </r>
    <r>
      <rPr>
        <sz val="10"/>
        <rFont val="Arial"/>
        <family val="2"/>
        <charset val="0"/>
      </rPr>
      <t>Plant</t>
    </r>
  </si>
  <si>
    <r>
      <t>永利汽车零部件</t>
    </r>
    <r>
      <rPr>
        <sz val="10"/>
        <rFont val="Arial"/>
        <family val="2"/>
        <charset val="0"/>
      </rPr>
      <t>(</t>
    </r>
    <r>
      <rPr>
        <sz val="10"/>
        <rFont val="宋体"/>
        <charset val="134"/>
      </rPr>
      <t>武汉</t>
    </r>
    <r>
      <rPr>
        <sz val="10"/>
        <rFont val="Arial"/>
        <family val="2"/>
        <charset val="0"/>
      </rPr>
      <t>)</t>
    </r>
    <r>
      <rPr>
        <sz val="10"/>
        <rFont val="宋体"/>
        <charset val="134"/>
      </rPr>
      <t>有限公司</t>
    </r>
  </si>
  <si>
    <r>
      <t>部门</t>
    </r>
    <r>
      <rPr>
        <sz val="10"/>
        <rFont val="Arial"/>
        <family val="2"/>
        <charset val="0"/>
      </rPr>
      <t>Dept:</t>
    </r>
  </si>
  <si>
    <t>质量部</t>
  </si>
  <si>
    <r>
      <t>日前</t>
    </r>
    <r>
      <rPr>
        <sz val="10"/>
        <rFont val="Arial"/>
        <family val="2"/>
        <charset val="0"/>
      </rPr>
      <t>Date:</t>
    </r>
  </si>
  <si>
    <t>2025.12.23</t>
  </si>
  <si>
    <t>上升链</t>
  </si>
  <si>
    <r>
      <t>链长</t>
    </r>
    <r>
      <rPr>
        <sz val="8"/>
        <rFont val="Arial"/>
        <family val="2"/>
        <charset val="0"/>
      </rPr>
      <t>RUN LENGTH</t>
    </r>
  </si>
  <si>
    <t>n</t>
  </si>
  <si>
    <t>a2</t>
  </si>
  <si>
    <t>d3</t>
  </si>
  <si>
    <t>d4</t>
  </si>
  <si>
    <t>PPU</t>
  </si>
  <si>
    <t>AJ05</t>
  </si>
  <si>
    <t>AS05</t>
  </si>
  <si>
    <t>AA3=1 if bilateral</t>
  </si>
  <si>
    <t>PART</t>
  </si>
  <si>
    <r>
      <t>零件号</t>
    </r>
    <r>
      <rPr>
        <sz val="10"/>
        <rFont val="Arial"/>
        <family val="2"/>
        <charset val="0"/>
      </rPr>
      <t xml:space="preserve">Part </t>
    </r>
    <r>
      <rPr>
        <sz val="10"/>
        <rFont val="Arial"/>
        <family val="2"/>
        <charset val="0"/>
      </rPr>
      <t>nub.</t>
    </r>
    <r>
      <rPr>
        <sz val="10"/>
        <rFont val="Arial"/>
        <family val="2"/>
        <charset val="0"/>
      </rPr>
      <t>:</t>
    </r>
  </si>
  <si>
    <t>Y1393847</t>
  </si>
  <si>
    <r>
      <t>产品描述</t>
    </r>
    <r>
      <rPr>
        <sz val="10"/>
        <rFont val="Arial"/>
        <family val="2"/>
        <charset val="0"/>
      </rPr>
      <t>Part description</t>
    </r>
  </si>
  <si>
    <t>左LINK支架总成</t>
  </si>
  <si>
    <r>
      <t>数量</t>
    </r>
    <r>
      <rPr>
        <sz val="8"/>
        <rFont val="Arial"/>
        <family val="2"/>
        <charset val="0"/>
      </rPr>
      <t>HOW MANY RUNS</t>
    </r>
  </si>
  <si>
    <t>PPL</t>
  </si>
  <si>
    <t>AJ06</t>
  </si>
  <si>
    <t>AS06</t>
  </si>
  <si>
    <t>AA3=2 if Min</t>
  </si>
  <si>
    <r>
      <t>图纸号</t>
    </r>
    <r>
      <rPr>
        <sz val="10"/>
        <rFont val="Arial"/>
        <family val="2"/>
        <charset val="0"/>
      </rPr>
      <t>Dra</t>
    </r>
    <r>
      <rPr>
        <sz val="10"/>
        <rFont val="Arial"/>
        <family val="2"/>
        <charset val="0"/>
      </rPr>
      <t>.</t>
    </r>
    <r>
      <rPr>
        <sz val="10"/>
        <rFont val="Arial"/>
        <family val="2"/>
        <charset val="0"/>
      </rPr>
      <t xml:space="preserve"> </t>
    </r>
    <r>
      <rPr>
        <sz val="10"/>
        <rFont val="Arial"/>
        <family val="2"/>
        <charset val="0"/>
      </rPr>
      <t>Nub.</t>
    </r>
  </si>
  <si>
    <t>D1393847</t>
  </si>
  <si>
    <r>
      <t>工程更改等级</t>
    </r>
    <r>
      <rPr>
        <sz val="10"/>
        <rFont val="Arial"/>
        <family val="2"/>
        <charset val="0"/>
      </rPr>
      <t>Eng. chg. level</t>
    </r>
  </si>
  <si>
    <t>下降链</t>
  </si>
  <si>
    <t>AJ07</t>
  </si>
  <si>
    <t>AS07</t>
  </si>
  <si>
    <t>AA3=3 if Max</t>
  </si>
  <si>
    <t>TOOL</t>
  </si>
  <si>
    <r>
      <t>模具号</t>
    </r>
    <r>
      <rPr>
        <sz val="10"/>
        <rFont val="Arial"/>
        <family val="2"/>
        <charset val="0"/>
      </rPr>
      <t xml:space="preserve">Tool </t>
    </r>
    <r>
      <rPr>
        <sz val="10"/>
        <rFont val="Arial"/>
        <family val="2"/>
        <charset val="0"/>
      </rPr>
      <t>N</t>
    </r>
    <r>
      <rPr>
        <sz val="10"/>
        <rFont val="Arial"/>
        <family val="2"/>
        <charset val="0"/>
      </rPr>
      <t>u</t>
    </r>
    <r>
      <rPr>
        <sz val="10"/>
        <rFont val="Arial"/>
        <family val="2"/>
        <charset val="0"/>
      </rPr>
      <t>b.</t>
    </r>
  </si>
  <si>
    <r>
      <t>型腔数</t>
    </r>
    <r>
      <rPr>
        <sz val="10"/>
        <rFont val="Arial"/>
        <family val="2"/>
        <charset val="0"/>
      </rPr>
      <t># Cavities</t>
    </r>
  </si>
  <si>
    <t xml:space="preserve"> </t>
  </si>
  <si>
    <t>AJ08</t>
  </si>
  <si>
    <t>AS08</t>
  </si>
  <si>
    <t>DIMENSION</t>
  </si>
  <si>
    <r>
      <t>描述</t>
    </r>
    <r>
      <rPr>
        <sz val="10"/>
        <rFont val="Arial"/>
        <family val="2"/>
        <charset val="0"/>
      </rPr>
      <t>Description</t>
    </r>
  </si>
  <si>
    <r>
      <t>单位</t>
    </r>
    <r>
      <rPr>
        <sz val="10"/>
        <rFont val="Arial"/>
        <family val="2"/>
        <charset val="0"/>
      </rPr>
      <t>Units</t>
    </r>
  </si>
  <si>
    <t>mm</t>
  </si>
  <si>
    <r>
      <t>超出控制限点</t>
    </r>
    <r>
      <rPr>
        <sz val="8"/>
        <rFont val="Arial"/>
        <family val="2"/>
        <charset val="0"/>
      </rPr>
      <t xml:space="preserve">Out of control limits </t>
    </r>
  </si>
  <si>
    <t>AJ09</t>
  </si>
  <si>
    <t>AS09</t>
  </si>
  <si>
    <r>
      <t>规范</t>
    </r>
    <r>
      <rPr>
        <sz val="10"/>
        <rFont val="Arial"/>
        <family val="2"/>
        <charset val="0"/>
      </rPr>
      <t>SPEC</t>
    </r>
  </si>
  <si>
    <r>
      <t>上公差</t>
    </r>
    <r>
      <rPr>
        <sz val="10"/>
        <rFont val="Arial"/>
        <family val="2"/>
        <charset val="0"/>
      </rPr>
      <t>PLUS</t>
    </r>
  </si>
  <si>
    <r>
      <t>下公差</t>
    </r>
    <r>
      <rPr>
        <sz val="10"/>
        <rFont val="Arial"/>
        <family val="2"/>
        <charset val="0"/>
      </rPr>
      <t>MINUS</t>
    </r>
  </si>
  <si>
    <t>均线上连续数据点</t>
  </si>
  <si>
    <t>AJ10</t>
  </si>
  <si>
    <t>AS10</t>
  </si>
  <si>
    <t>均线下连续数据点</t>
  </si>
  <si>
    <t>AJ11</t>
  </si>
  <si>
    <t>AS11</t>
  </si>
  <si>
    <t>AJ12</t>
  </si>
  <si>
    <t>AS12</t>
  </si>
  <si>
    <t>AJ13</t>
  </si>
  <si>
    <t>AS13</t>
  </si>
  <si>
    <t>AJ14</t>
  </si>
  <si>
    <t>AS14</t>
  </si>
  <si>
    <t>1 to 5</t>
  </si>
  <si>
    <t>AveX</t>
  </si>
  <si>
    <t>UCLx</t>
  </si>
  <si>
    <t>Min</t>
  </si>
  <si>
    <t>LH term</t>
  </si>
  <si>
    <t>RH term</t>
  </si>
  <si>
    <t>Low end</t>
  </si>
  <si>
    <t>High end</t>
  </si>
  <si>
    <t>6 and up</t>
  </si>
  <si>
    <t>LCLx</t>
  </si>
  <si>
    <t>Max</t>
  </si>
  <si>
    <t>Final</t>
  </si>
  <si>
    <t>D11</t>
  </si>
  <si>
    <t>AveR</t>
  </si>
  <si>
    <t>UCLr</t>
  </si>
  <si>
    <t>Diff</t>
  </si>
  <si>
    <t>M11</t>
  </si>
  <si>
    <t>Data Values</t>
  </si>
  <si>
    <t>LCLr</t>
  </si>
  <si>
    <t>Class</t>
  </si>
  <si>
    <t>XGoUP</t>
  </si>
  <si>
    <t>XAcumUP</t>
  </si>
  <si>
    <t>XAcumDw</t>
  </si>
  <si>
    <t>XMaxUP</t>
  </si>
  <si>
    <t>AF29</t>
  </si>
  <si>
    <t>XMaxDown</t>
  </si>
  <si>
    <t>AF30</t>
  </si>
  <si>
    <t>XHMUps</t>
  </si>
  <si>
    <t>XHMDws</t>
  </si>
  <si>
    <t>RGoUP</t>
  </si>
  <si>
    <t>RAcumUP</t>
  </si>
  <si>
    <t>RAcumDw</t>
  </si>
  <si>
    <t>RMaxUP</t>
  </si>
  <si>
    <t>AF36</t>
  </si>
  <si>
    <t>RMaxDown</t>
  </si>
  <si>
    <t>AF37</t>
  </si>
  <si>
    <t>RHMUps</t>
  </si>
  <si>
    <t>RHMDws</t>
  </si>
  <si>
    <t>sample #</t>
  </si>
  <si>
    <t>Above UCLx</t>
  </si>
  <si>
    <t>AJ16</t>
  </si>
  <si>
    <t>Below LCLx</t>
  </si>
  <si>
    <t>AJ17</t>
  </si>
  <si>
    <t>Above UCLr</t>
  </si>
  <si>
    <t>AJ18</t>
  </si>
  <si>
    <t>Below LCLr</t>
  </si>
  <si>
    <t>AJ19</t>
  </si>
  <si>
    <t>XAbove</t>
  </si>
  <si>
    <t>XBelow</t>
  </si>
  <si>
    <t>RAbove</t>
  </si>
  <si>
    <t>RBelow</t>
  </si>
  <si>
    <t>XACounter</t>
  </si>
  <si>
    <t>XBCounter</t>
  </si>
  <si>
    <r>
      <t>日期</t>
    </r>
    <r>
      <rPr>
        <sz val="10"/>
        <rFont val="Arial"/>
        <family val="2"/>
        <charset val="0"/>
      </rPr>
      <t>Date:</t>
    </r>
  </si>
  <si>
    <r>
      <t>统计学描述</t>
    </r>
    <r>
      <rPr>
        <b/>
        <sz val="10"/>
        <color indexed="9"/>
        <rFont val="Arial"/>
        <family val="2"/>
        <charset val="0"/>
      </rPr>
      <t>DESCRIPTIVE   STATISTICS</t>
    </r>
  </si>
  <si>
    <t>VALUES</t>
  </si>
  <si>
    <t>RACounter</t>
  </si>
  <si>
    <r>
      <t>零件号</t>
    </r>
    <r>
      <rPr>
        <sz val="10"/>
        <rFont val="Arial"/>
        <family val="2"/>
        <charset val="0"/>
      </rPr>
      <t>Part nu</t>
    </r>
    <r>
      <rPr>
        <sz val="10"/>
        <rFont val="Arial"/>
        <family val="2"/>
        <charset val="0"/>
      </rPr>
      <t>b.</t>
    </r>
    <r>
      <rPr>
        <sz val="10"/>
        <rFont val="Arial"/>
        <family val="2"/>
        <charset val="0"/>
      </rPr>
      <t>:</t>
    </r>
  </si>
  <si>
    <r>
      <t>零件描述</t>
    </r>
    <r>
      <rPr>
        <sz val="10"/>
        <rFont val="Arial"/>
        <family val="2"/>
        <charset val="0"/>
      </rPr>
      <t>Part description</t>
    </r>
  </si>
  <si>
    <r>
      <t>读数数</t>
    </r>
    <r>
      <rPr>
        <sz val="10"/>
        <rFont val="Arial"/>
        <family val="2"/>
        <charset val="0"/>
      </rPr>
      <t>Number of readings</t>
    </r>
  </si>
  <si>
    <t>RBCounter</t>
  </si>
  <si>
    <r>
      <t>图纸号</t>
    </r>
    <r>
      <rPr>
        <sz val="10"/>
        <rFont val="Arial"/>
        <family val="2"/>
        <charset val="0"/>
      </rPr>
      <t>Dra</t>
    </r>
    <r>
      <rPr>
        <sz val="10"/>
        <rFont val="Arial"/>
        <family val="2"/>
        <charset val="0"/>
      </rPr>
      <t>.</t>
    </r>
    <r>
      <rPr>
        <sz val="10"/>
        <rFont val="Arial"/>
        <family val="2"/>
        <charset val="0"/>
      </rPr>
      <t xml:space="preserve"> nu</t>
    </r>
    <r>
      <rPr>
        <sz val="10"/>
        <rFont val="Arial"/>
        <family val="2"/>
        <charset val="0"/>
      </rPr>
      <t>b.</t>
    </r>
  </si>
  <si>
    <r>
      <t>下限值</t>
    </r>
    <r>
      <rPr>
        <sz val="10"/>
        <rFont val="Arial"/>
        <family val="2"/>
        <charset val="0"/>
      </rPr>
      <t>Lower spec limit (LSL)</t>
    </r>
  </si>
  <si>
    <r>
      <t>模具号</t>
    </r>
    <r>
      <rPr>
        <sz val="10"/>
        <rFont val="Arial"/>
        <family val="2"/>
        <charset val="0"/>
      </rPr>
      <t>Tool nu</t>
    </r>
    <r>
      <rPr>
        <sz val="10"/>
        <rFont val="Arial"/>
        <family val="2"/>
        <charset val="0"/>
      </rPr>
      <t>b.</t>
    </r>
  </si>
  <si>
    <r>
      <t>型腔号</t>
    </r>
    <r>
      <rPr>
        <sz val="10"/>
        <rFont val="Arial"/>
        <family val="2"/>
        <charset val="0"/>
      </rPr>
      <t># Cavities</t>
    </r>
  </si>
  <si>
    <r>
      <t>名义值</t>
    </r>
    <r>
      <rPr>
        <sz val="10"/>
        <rFont val="Arial"/>
        <family val="2"/>
        <charset val="0"/>
      </rPr>
      <t>Nominal</t>
    </r>
  </si>
  <si>
    <t>MaxXA</t>
  </si>
  <si>
    <t xml:space="preserve">  consecutive data points above average X</t>
  </si>
  <si>
    <r>
      <t>上限值</t>
    </r>
    <r>
      <rPr>
        <sz val="10"/>
        <rFont val="Arial"/>
        <family val="2"/>
        <charset val="0"/>
      </rPr>
      <t>Upper spec limit (USL)</t>
    </r>
  </si>
  <si>
    <t>MaxXB</t>
  </si>
  <si>
    <t xml:space="preserve">  consecutive data points below average X</t>
  </si>
  <si>
    <r>
      <t>总和</t>
    </r>
    <r>
      <rPr>
        <sz val="10"/>
        <rFont val="Arial"/>
        <family val="2"/>
        <charset val="0"/>
      </rPr>
      <t>Total sum</t>
    </r>
  </si>
  <si>
    <t>MaxRA</t>
  </si>
  <si>
    <t xml:space="preserve">  consecutive data points above average R</t>
  </si>
  <si>
    <r>
      <t>平均值</t>
    </r>
    <r>
      <rPr>
        <sz val="10"/>
        <rFont val="Arial"/>
        <family val="2"/>
        <charset val="0"/>
      </rPr>
      <t>Ave</t>
    </r>
    <r>
      <rPr>
        <sz val="10"/>
        <rFont val="宋体"/>
        <charset val="134"/>
      </rPr>
      <t>。</t>
    </r>
    <r>
      <rPr>
        <sz val="10"/>
        <rFont val="Arial"/>
        <family val="2"/>
        <charset val="0"/>
      </rPr>
      <t xml:space="preserve"> reads ( </t>
    </r>
    <r>
      <rPr>
        <sz val="8"/>
        <rFont val="Arial"/>
        <family val="2"/>
        <charset val="0"/>
      </rPr>
      <t xml:space="preserve">X </t>
    </r>
    <r>
      <rPr>
        <sz val="10"/>
        <rFont val="Arial"/>
        <family val="2"/>
        <charset val="0"/>
      </rPr>
      <t>)</t>
    </r>
  </si>
  <si>
    <t>MaxRB</t>
  </si>
  <si>
    <t xml:space="preserve">  consecutive data points below average R</t>
  </si>
  <si>
    <t>HISTOGRAM WITHOUT LIMITS</t>
  </si>
  <si>
    <t>HISTOGRAM WITH LIMITS</t>
  </si>
  <si>
    <r>
      <t>最大值</t>
    </r>
    <r>
      <rPr>
        <sz val="10"/>
        <rFont val="Arial"/>
        <family val="2"/>
        <charset val="0"/>
      </rPr>
      <t>Maximum</t>
    </r>
  </si>
  <si>
    <r>
      <t>最小值</t>
    </r>
    <r>
      <rPr>
        <sz val="10"/>
        <rFont val="Arial"/>
        <family val="2"/>
        <charset val="0"/>
      </rPr>
      <t>Minimum</t>
    </r>
  </si>
  <si>
    <t>To chart:</t>
  </si>
  <si>
    <t>Data X</t>
  </si>
  <si>
    <r>
      <t>超控制下限数值</t>
    </r>
    <r>
      <rPr>
        <sz val="10"/>
        <rFont val="Arial"/>
        <family val="2"/>
        <charset val="0"/>
      </rPr>
      <t>Readings below LSL</t>
    </r>
  </si>
  <si>
    <r>
      <t>超控制上限数值</t>
    </r>
    <r>
      <rPr>
        <sz val="10"/>
        <rFont val="Arial"/>
        <family val="2"/>
        <charset val="0"/>
      </rPr>
      <t>Readings above USL</t>
    </r>
  </si>
  <si>
    <r>
      <t>极差均值</t>
    </r>
    <r>
      <rPr>
        <sz val="10"/>
        <rFont val="Arial"/>
        <family val="2"/>
        <charset val="0"/>
      </rPr>
      <t>Average Range (R)</t>
    </r>
  </si>
  <si>
    <r>
      <t>D2</t>
    </r>
    <r>
      <rPr>
        <sz val="10"/>
        <rFont val="宋体"/>
        <charset val="134"/>
      </rPr>
      <t>值</t>
    </r>
    <r>
      <rPr>
        <sz val="10"/>
        <rFont val="Arial"/>
        <family val="2"/>
        <charset val="0"/>
      </rPr>
      <t>D</t>
    </r>
    <r>
      <rPr>
        <vertAlign val="subscript"/>
        <sz val="10"/>
        <rFont val="Arial"/>
        <family val="2"/>
        <charset val="0"/>
      </rPr>
      <t>2</t>
    </r>
    <r>
      <rPr>
        <sz val="10"/>
        <rFont val="Arial"/>
        <family val="2"/>
        <charset val="0"/>
      </rPr>
      <t xml:space="preserve"> Value</t>
    </r>
  </si>
  <si>
    <t>n =</t>
  </si>
  <si>
    <t>d2 value</t>
  </si>
  <si>
    <t>n from 2-5</t>
  </si>
  <si>
    <r>
      <t>上限能力指数</t>
    </r>
    <r>
      <rPr>
        <sz val="10"/>
        <rFont val="Arial"/>
        <family val="2"/>
        <charset val="0"/>
      </rPr>
      <t>Upper capability index(CPU)</t>
    </r>
  </si>
  <si>
    <t>n from 6 - 10</t>
  </si>
  <si>
    <r>
      <t>下限能力指数</t>
    </r>
    <r>
      <rPr>
        <sz val="10"/>
        <rFont val="Arial"/>
        <family val="2"/>
        <charset val="0"/>
      </rPr>
      <t>Lower capability index(CPL)</t>
    </r>
  </si>
  <si>
    <r>
      <t>能力指数</t>
    </r>
    <r>
      <rPr>
        <sz val="10"/>
        <rFont val="Arial"/>
        <family val="2"/>
        <charset val="0"/>
      </rPr>
      <t>Capability index (C</t>
    </r>
    <r>
      <rPr>
        <vertAlign val="subscript"/>
        <sz val="10"/>
        <rFont val="Arial"/>
        <family val="2"/>
        <charset val="0"/>
      </rPr>
      <t>p</t>
    </r>
    <r>
      <rPr>
        <sz val="10"/>
        <rFont val="Arial"/>
        <family val="2"/>
        <charset val="0"/>
      </rPr>
      <t>)</t>
    </r>
  </si>
  <si>
    <t xml:space="preserve">- Trend up greater than 7 (X) - </t>
  </si>
  <si>
    <r>
      <t>过程能力指数</t>
    </r>
    <r>
      <rPr>
        <sz val="10"/>
        <rFont val="Arial"/>
        <family val="2"/>
        <charset val="0"/>
      </rPr>
      <t>Process Capability  (C</t>
    </r>
    <r>
      <rPr>
        <vertAlign val="subscript"/>
        <sz val="10"/>
        <rFont val="Arial"/>
        <family val="2"/>
        <charset val="0"/>
      </rPr>
      <t>pk</t>
    </r>
    <r>
      <rPr>
        <sz val="10"/>
        <rFont val="Arial"/>
        <family val="2"/>
        <charset val="0"/>
      </rPr>
      <t>)</t>
    </r>
  </si>
  <si>
    <t xml:space="preserve">Trend down greater than 7 (X) - </t>
  </si>
  <si>
    <r>
      <t>能力比值</t>
    </r>
    <r>
      <rPr>
        <sz val="10"/>
        <rFont val="Arial"/>
        <family val="2"/>
        <charset val="0"/>
      </rPr>
      <t>Capability ratio (CR)</t>
    </r>
  </si>
  <si>
    <t xml:space="preserve">Out of control limits (X) - </t>
  </si>
  <si>
    <t>Std Deviation (n-1)</t>
  </si>
  <si>
    <t xml:space="preserve">Trend up greather than 7 (R) - </t>
  </si>
  <si>
    <t>Std Deviation (n)</t>
  </si>
  <si>
    <t xml:space="preserve">Trend down greather than 7 (R) - </t>
  </si>
  <si>
    <t>Variance (n-1)</t>
  </si>
  <si>
    <t xml:space="preserve">Out of control limits (R) - </t>
  </si>
  <si>
    <t>Variance (n)</t>
  </si>
  <si>
    <t xml:space="preserve">- Excessive process variation (Pp &lt; 1.67) - </t>
  </si>
  <si>
    <r>
      <t>性能指数</t>
    </r>
    <r>
      <rPr>
        <sz val="10"/>
        <rFont val="Arial"/>
        <family val="2"/>
        <charset val="0"/>
      </rPr>
      <t>Performance index (P</t>
    </r>
    <r>
      <rPr>
        <vertAlign val="subscript"/>
        <sz val="10"/>
        <rFont val="Arial"/>
        <family val="2"/>
        <charset val="0"/>
      </rPr>
      <t>P</t>
    </r>
    <r>
      <rPr>
        <sz val="10"/>
        <rFont val="Arial"/>
        <family val="2"/>
        <charset val="0"/>
      </rPr>
      <t>)</t>
    </r>
  </si>
  <si>
    <t xml:space="preserve">Process not centered / capable (1.33 &lt;= PPk &lt;= 1.67 and CPk &lt; 1.33) - </t>
  </si>
  <si>
    <r>
      <t>性能比值</t>
    </r>
    <r>
      <rPr>
        <sz val="10"/>
        <rFont val="Arial"/>
        <family val="2"/>
        <charset val="0"/>
      </rPr>
      <t>Performance ratio (PR)</t>
    </r>
  </si>
  <si>
    <t>Process substandard, needs improvement (PPk &lt; 1.33).</t>
  </si>
  <si>
    <r>
      <t>过程性能指数</t>
    </r>
    <r>
      <rPr>
        <b/>
        <sz val="10"/>
        <rFont val="Arial"/>
        <family val="2"/>
        <charset val="0"/>
      </rPr>
      <t>Performance index (P</t>
    </r>
    <r>
      <rPr>
        <b/>
        <vertAlign val="subscript"/>
        <sz val="10"/>
        <rFont val="Arial"/>
        <family val="2"/>
        <charset val="0"/>
      </rPr>
      <t>pk</t>
    </r>
    <r>
      <rPr>
        <b/>
        <sz val="10"/>
        <rFont val="Arial"/>
        <family val="2"/>
        <charset val="0"/>
      </rPr>
      <t>)</t>
    </r>
  </si>
  <si>
    <t>More than 7 consecutive points above X</t>
  </si>
  <si>
    <t>S</t>
  </si>
  <si>
    <t>U</t>
  </si>
  <si>
    <t>B</t>
  </si>
  <si>
    <t>G</t>
  </si>
  <si>
    <t>R</t>
  </si>
  <si>
    <t>O</t>
  </si>
  <si>
    <t>P</t>
  </si>
  <si>
    <t>More than 7 consecutive points below X</t>
  </si>
  <si>
    <t>More than 7 consecutive points above R</t>
  </si>
  <si>
    <t>More than 7 consecutive points below R</t>
  </si>
  <si>
    <t>FINAL CALL</t>
  </si>
  <si>
    <t>ADDING</t>
  </si>
  <si>
    <t>Average</t>
  </si>
  <si>
    <t>Range</t>
  </si>
  <si>
    <t>N</t>
  </si>
  <si>
    <t>T</t>
  </si>
  <si>
    <t>E</t>
  </si>
  <si>
    <t>Subgroup chk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</si>
</sst>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2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  <numFmt numFmtId="180" formatCode="#,##0.0_);[Red]\(#,##0.0\)"/>
    <numFmt numFmtId="181" formatCode="m/d/yy_)"/>
    <numFmt numFmtId="182" formatCode="#,##0.0_);\(#,##0.0\)"/>
    <numFmt numFmtId="183" formatCode="#,##0.000_);\(#,##0.000\)"/>
    <numFmt numFmtId="184" formatCode="0.0%"/>
    <numFmt numFmtId="185" formatCode="mmm\-yy_)"/>
    <numFmt numFmtId="186" formatCode="&quot;$&quot;#,##0_);[Red]\(&quot;$&quot;#,##0\)"/>
    <numFmt numFmtId="187" formatCode="&quot;$&quot;#,##0.00_);[Red]\(&quot;$&quot;#,##0.00\)"/>
    <numFmt numFmtId="188" formatCode="_(* #,##0.00_);_(* \(#,##0.00\);_(* &quot;&quot;_);_(@_)"/>
    <numFmt numFmtId="189" formatCode="0.0%;\(0.0%\)"/>
    <numFmt numFmtId="190" formatCode="0.0%;[Red]\-0.0%"/>
    <numFmt numFmtId="191" formatCode="0.00%;[Red]\-0.00%"/>
    <numFmt numFmtId="192" formatCode="h:mm\ AM/PM"/>
    <numFmt numFmtId="193" formatCode="###0_)"/>
    <numFmt numFmtId="194" formatCode="0.0000"/>
    <numFmt numFmtId="195" formatCode="#,##0.0###"/>
    <numFmt numFmtId="196" formatCode="#,##0.000"/>
    <numFmt numFmtId="197" formatCode="#,##0.0000"/>
  </numFmts>
  <fonts count="64">
    <font>
      <sz val="10"/>
      <name val="Arial"/>
      <family val="2"/>
      <charset val="0"/>
    </font>
    <font>
      <sz val="8"/>
      <color indexed="9"/>
      <name val="Arial"/>
      <family val="2"/>
      <charset val="0"/>
    </font>
    <font>
      <sz val="10"/>
      <color indexed="9"/>
      <name val="Arial"/>
      <family val="2"/>
      <charset val="0"/>
    </font>
    <font>
      <sz val="18"/>
      <name val="Arial"/>
      <family val="2"/>
      <charset val="0"/>
    </font>
    <font>
      <sz val="16"/>
      <name val="宋体"/>
      <charset val="134"/>
    </font>
    <font>
      <sz val="16"/>
      <name val="Arial"/>
      <family val="2"/>
      <charset val="0"/>
    </font>
    <font>
      <sz val="14"/>
      <name val="Arial"/>
      <family val="2"/>
      <charset val="0"/>
    </font>
    <font>
      <b/>
      <sz val="14"/>
      <color indexed="10"/>
      <name val="Arial"/>
      <family val="2"/>
      <charset val="0"/>
    </font>
    <font>
      <b/>
      <sz val="6"/>
      <name val="Arial"/>
      <family val="2"/>
      <charset val="0"/>
    </font>
    <font>
      <b/>
      <sz val="18"/>
      <name val="Arial"/>
      <family val="2"/>
      <charset val="0"/>
    </font>
    <font>
      <sz val="10"/>
      <name val="宋体"/>
      <charset val="134"/>
    </font>
    <font>
      <sz val="14"/>
      <color indexed="12"/>
      <name val="Arial"/>
      <family val="2"/>
      <charset val="0"/>
    </font>
    <font>
      <b/>
      <sz val="10"/>
      <color indexed="9"/>
      <name val="宋体"/>
      <charset val="134"/>
    </font>
    <font>
      <b/>
      <sz val="10"/>
      <color indexed="9"/>
      <name val="Arial"/>
      <family val="2"/>
      <charset val="0"/>
    </font>
    <font>
      <sz val="6"/>
      <color indexed="9"/>
      <name val="Arial"/>
      <family val="2"/>
      <charset val="0"/>
    </font>
    <font>
      <sz val="10"/>
      <color indexed="12"/>
      <name val="Arial"/>
      <family val="2"/>
      <charset val="0"/>
    </font>
    <font>
      <sz val="10"/>
      <color rgb="FF0000FF"/>
      <name val="宋体"/>
      <charset val="134"/>
    </font>
    <font>
      <sz val="10"/>
      <color indexed="10"/>
      <name val="Arial"/>
      <family val="2"/>
      <charset val="0"/>
    </font>
    <font>
      <sz val="7"/>
      <color indexed="12"/>
      <name val="Arial"/>
      <family val="2"/>
      <charset val="0"/>
    </font>
    <font>
      <sz val="8"/>
      <name val="宋体"/>
      <charset val="134"/>
    </font>
    <font>
      <sz val="8"/>
      <name val="Arial"/>
      <family val="2"/>
      <charset val="0"/>
    </font>
    <font>
      <sz val="8"/>
      <color indexed="10"/>
      <name val="Arial"/>
      <family val="2"/>
      <charset val="0"/>
    </font>
    <font>
      <sz val="10"/>
      <color indexed="12"/>
      <name val="宋体"/>
      <charset val="134"/>
    </font>
    <font>
      <b/>
      <sz val="10"/>
      <name val="Arial"/>
      <family val="2"/>
      <charset val="0"/>
    </font>
    <font>
      <b/>
      <sz val="8"/>
      <name val="Arial"/>
      <family val="2"/>
      <charset val="0"/>
    </font>
    <font>
      <b/>
      <sz val="10"/>
      <color indexed="10"/>
      <name val="Arial"/>
      <family val="2"/>
      <charset val="0"/>
    </font>
    <font>
      <b/>
      <sz val="10"/>
      <name val="宋体"/>
      <charset val="134"/>
    </font>
    <font>
      <sz val="8"/>
      <color indexed="12"/>
      <name val="Arial"/>
      <family val="2"/>
      <charset val="0"/>
    </font>
    <font>
      <u/>
      <sz val="10"/>
      <color theme="10"/>
      <name val="Arial"/>
      <family val="2"/>
      <charset val="0"/>
    </font>
    <font>
      <u/>
      <sz val="10"/>
      <color theme="11"/>
      <name val="Arial"/>
      <family val="2"/>
      <charset val="0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Arial"/>
      <family val="2"/>
      <charset val="0"/>
    </font>
    <font>
      <sz val="10"/>
      <name val="Univers (WN)"/>
      <family val="2"/>
      <charset val="0"/>
    </font>
    <font>
      <sz val="8"/>
      <name val="CG Times (E1)"/>
      <family val="2"/>
      <charset val="0"/>
    </font>
    <font>
      <sz val="10"/>
      <name val="Helv"/>
      <family val="2"/>
      <charset val="0"/>
    </font>
    <font>
      <sz val="8"/>
      <name val="Times New Roman"/>
      <family val="1"/>
      <charset val="0"/>
    </font>
    <font>
      <sz val="8"/>
      <color indexed="12"/>
      <name val="Times New Roman"/>
      <family val="1"/>
      <charset val="0"/>
    </font>
    <font>
      <sz val="10"/>
      <name val="MS Sans Serif"/>
      <family val="2"/>
      <charset val="0"/>
    </font>
    <font>
      <sz val="11"/>
      <name val="Arial"/>
      <family val="2"/>
      <charset val="0"/>
    </font>
    <font>
      <sz val="10"/>
      <name val="Univers (E1)"/>
      <family val="2"/>
      <charset val="0"/>
    </font>
    <font>
      <b/>
      <sz val="12"/>
      <name val="Univers (WN)"/>
      <family val="2"/>
      <charset val="0"/>
    </font>
    <font>
      <b/>
      <sz val="10"/>
      <name val="Univers (WN)"/>
      <family val="2"/>
      <charset val="0"/>
    </font>
    <font>
      <sz val="11"/>
      <color indexed="8"/>
      <name val="宋体"/>
      <charset val="134"/>
    </font>
    <font>
      <sz val="12"/>
      <name val="Times New Roman"/>
      <family val="1"/>
      <charset val="0"/>
    </font>
    <font>
      <sz val="11"/>
      <name val="柧挬"/>
      <charset val="134"/>
    </font>
    <font>
      <vertAlign val="subscript"/>
      <sz val="10"/>
      <name val="Arial"/>
      <family val="2"/>
      <charset val="0"/>
    </font>
    <font>
      <b/>
      <vertAlign val="subscript"/>
      <sz val="10"/>
      <name val="Arial"/>
      <family val="2"/>
      <charset val="0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8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0" fillId="4" borderId="61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62" applyNumberFormat="0" applyFill="0" applyAlignment="0" applyProtection="0">
      <alignment vertical="center"/>
    </xf>
    <xf numFmtId="0" fontId="34" fillId="0" borderId="63" applyNumberFormat="0" applyFill="0" applyAlignment="0" applyProtection="0">
      <alignment vertical="center"/>
    </xf>
    <xf numFmtId="0" fontId="35" fillId="0" borderId="64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5" borderId="65" applyNumberFormat="0" applyAlignment="0" applyProtection="0">
      <alignment vertical="center"/>
    </xf>
    <xf numFmtId="0" fontId="37" fillId="6" borderId="66" applyNumberFormat="0" applyAlignment="0" applyProtection="0">
      <alignment vertical="center"/>
    </xf>
    <xf numFmtId="0" fontId="38" fillId="6" borderId="65" applyNumberFormat="0" applyAlignment="0" applyProtection="0">
      <alignment vertical="center"/>
    </xf>
    <xf numFmtId="0" fontId="39" fillId="7" borderId="67" applyNumberFormat="0" applyAlignment="0" applyProtection="0">
      <alignment vertical="center"/>
    </xf>
    <xf numFmtId="0" fontId="40" fillId="0" borderId="68" applyNumberFormat="0" applyFill="0" applyAlignment="0" applyProtection="0">
      <alignment vertical="center"/>
    </xf>
    <xf numFmtId="0" fontId="41" fillId="0" borderId="69" applyNumberFormat="0" applyFill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180" fontId="47" fillId="0" borderId="0" applyFill="0" applyBorder="0" applyAlignment="0"/>
    <xf numFmtId="0" fontId="25" fillId="0" borderId="23" applyNumberFormat="0" applyFill="0" applyBorder="0" applyAlignment="0" applyProtection="0">
      <alignment vertical="center"/>
    </xf>
    <xf numFmtId="0" fontId="24" fillId="0" borderId="35">
      <alignment horizontal="center"/>
    </xf>
    <xf numFmtId="181" fontId="48" fillId="0" borderId="0" applyFont="0" applyFill="0" applyBorder="0" applyAlignment="0" applyProtection="0"/>
    <xf numFmtId="182" fontId="49" fillId="0" borderId="0" applyFont="0" applyFill="0" applyBorder="0" applyAlignment="0" applyProtection="0">
      <protection locked="0"/>
    </xf>
    <xf numFmtId="39" fontId="50" fillId="0" borderId="0" applyFont="0" applyFill="0" applyBorder="0" applyAlignment="0" applyProtection="0"/>
    <xf numFmtId="183" fontId="51" fillId="0" borderId="0" applyFont="0" applyFill="0" applyBorder="0" applyAlignment="0"/>
    <xf numFmtId="38" fontId="20" fillId="35" borderId="0" applyBorder="0" applyAlignment="0" applyProtection="0"/>
    <xf numFmtId="37" fontId="52" fillId="0" borderId="0" applyFill="0" applyBorder="0" applyAlignment="0">
      <protection locked="0"/>
    </xf>
    <xf numFmtId="184" fontId="52" fillId="0" borderId="16" applyFill="0" applyBorder="0" applyAlignment="0">
      <alignment horizontal="center"/>
      <protection locked="0"/>
    </xf>
    <xf numFmtId="10" fontId="20" fillId="36" borderId="23" applyBorder="0" applyAlignment="0" applyProtection="0"/>
    <xf numFmtId="182" fontId="52" fillId="0" borderId="0" applyFill="0" applyBorder="0" applyAlignment="0">
      <protection locked="0"/>
    </xf>
    <xf numFmtId="183" fontId="52" fillId="0" borderId="0" applyFill="0" applyBorder="0" applyAlignment="0" applyProtection="0">
      <protection locked="0"/>
    </xf>
    <xf numFmtId="38" fontId="53" fillId="0" borderId="0" applyFont="0" applyFill="0" applyBorder="0" applyAlignment="0" applyProtection="0"/>
    <xf numFmtId="40" fontId="53" fillId="0" borderId="0" applyFont="0" applyFill="0" applyBorder="0" applyAlignment="0" applyProtection="0"/>
    <xf numFmtId="185" fontId="48" fillId="0" borderId="0" applyFont="0" applyFill="0" applyBorder="0" applyAlignment="0" applyProtection="0"/>
    <xf numFmtId="186" fontId="53" fillId="0" borderId="0" applyFont="0" applyFill="0" applyBorder="0" applyAlignment="0" applyProtection="0"/>
    <xf numFmtId="187" fontId="53" fillId="0" borderId="0" applyFont="0" applyFill="0" applyBorder="0" applyAlignment="0" applyProtection="0"/>
    <xf numFmtId="188" fontId="0" fillId="0" borderId="0"/>
    <xf numFmtId="180" fontId="54" fillId="0" borderId="0" applyFill="0" applyBorder="0" applyAlignment="0"/>
    <xf numFmtId="189" fontId="51" fillId="0" borderId="70" applyFont="0" applyFill="0" applyBorder="0" applyAlignment="0" applyProtection="0">
      <alignment horizontal="right"/>
    </xf>
    <xf numFmtId="10" fontId="0" fillId="0" borderId="0" applyFont="0" applyFill="0" applyBorder="0" applyAlignment="0" applyProtection="0"/>
    <xf numFmtId="190" fontId="55" fillId="0" borderId="0" applyFont="0" applyFill="0" applyBorder="0" applyAlignment="0" applyProtection="0"/>
    <xf numFmtId="191" fontId="55" fillId="0" borderId="0" applyFont="0" applyFill="0" applyBorder="0" applyAlignment="0" applyProtection="0"/>
    <xf numFmtId="9" fontId="53" fillId="0" borderId="7" applyBorder="0"/>
    <xf numFmtId="0" fontId="0" fillId="0" borderId="0" applyNumberFormat="0" applyFill="0" applyBorder="0" applyAlignment="0" applyProtection="0"/>
    <xf numFmtId="0" fontId="20" fillId="0" borderId="0"/>
    <xf numFmtId="38" fontId="56" fillId="0" borderId="0" applyFill="0" applyBorder="0" applyAlignment="0" applyProtection="0"/>
    <xf numFmtId="190" fontId="57" fillId="0" borderId="0" applyFill="0" applyBorder="0" applyAlignment="0" applyProtection="0"/>
    <xf numFmtId="38" fontId="56" fillId="0" borderId="0" applyFill="0" applyBorder="0" applyAlignment="0" applyProtection="0"/>
    <xf numFmtId="192" fontId="49" fillId="0" borderId="0" applyFont="0" applyFill="0" applyBorder="0" applyAlignment="0" applyProtection="0">
      <alignment horizontal="left"/>
    </xf>
    <xf numFmtId="10" fontId="55" fillId="0" borderId="71" applyFont="0" applyFill="0" applyAlignment="0" applyProtection="0"/>
    <xf numFmtId="193" fontId="23" fillId="0" borderId="21" applyFont="0" applyFill="0" applyBorder="0" applyAlignment="0" applyProtection="0"/>
    <xf numFmtId="0" fontId="53" fillId="0" borderId="0" applyFont="0" applyFill="0" applyBorder="0" applyAlignment="0" applyProtection="0"/>
    <xf numFmtId="0" fontId="58" fillId="0" borderId="0">
      <alignment vertical="center"/>
    </xf>
    <xf numFmtId="0" fontId="59" fillId="0" borderId="0"/>
    <xf numFmtId="0" fontId="60" fillId="0" borderId="0"/>
    <xf numFmtId="176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0" fillId="0" borderId="0"/>
  </cellStyleXfs>
  <cellXfs count="257">
    <xf numFmtId="0" fontId="0" fillId="0" borderId="0" xfId="0"/>
    <xf numFmtId="0" fontId="1" fillId="2" borderId="0" xfId="0" applyFont="1" applyFill="1" applyAlignment="1" applyProtection="1">
      <alignment horizontal="center"/>
    </xf>
    <xf numFmtId="0" fontId="1" fillId="2" borderId="0" xfId="0" applyFont="1" applyFill="1" applyProtection="1"/>
    <xf numFmtId="0" fontId="0" fillId="2" borderId="0" xfId="0" applyFont="1" applyFill="1" applyAlignment="1" applyProtection="1">
      <alignment horizontal="center"/>
    </xf>
    <xf numFmtId="0" fontId="0" fillId="2" borderId="0" xfId="0" applyFont="1" applyFill="1" applyProtection="1"/>
    <xf numFmtId="0" fontId="2" fillId="2" borderId="0" xfId="0" applyFont="1" applyFill="1" applyAlignment="1" applyProtection="1"/>
    <xf numFmtId="0" fontId="2" fillId="2" borderId="0" xfId="0" applyFont="1" applyFill="1" applyProtection="1"/>
    <xf numFmtId="194" fontId="0" fillId="0" borderId="0" xfId="0" applyNumberFormat="1" applyFont="1" applyFill="1" applyProtection="1"/>
    <xf numFmtId="0" fontId="0" fillId="0" borderId="0" xfId="0" applyFill="1"/>
    <xf numFmtId="194" fontId="3" fillId="0" borderId="0" xfId="0" applyNumberFormat="1" applyFont="1" applyFill="1" applyAlignment="1" applyProtection="1">
      <alignment horizontal="left"/>
    </xf>
    <xf numFmtId="194" fontId="4" fillId="0" borderId="0" xfId="0" applyNumberFormat="1" applyFont="1" applyFill="1" applyAlignment="1" applyProtection="1">
      <alignment horizontal="centerContinuous" wrapText="1"/>
    </xf>
    <xf numFmtId="194" fontId="5" fillId="0" borderId="0" xfId="0" applyNumberFormat="1" applyFont="1" applyFill="1" applyAlignment="1" applyProtection="1">
      <alignment horizontal="centerContinuous"/>
    </xf>
    <xf numFmtId="194" fontId="5" fillId="0" borderId="0" xfId="0" applyNumberFormat="1" applyFont="1" applyFill="1" applyAlignment="1" applyProtection="1"/>
    <xf numFmtId="0" fontId="6" fillId="0" borderId="0" xfId="0" applyFont="1" applyFill="1" applyAlignment="1" applyProtection="1">
      <alignment horizontal="centerContinuous"/>
    </xf>
    <xf numFmtId="0" fontId="0" fillId="0" borderId="0" xfId="0" applyFont="1" applyFill="1" applyProtection="1"/>
    <xf numFmtId="0" fontId="7" fillId="0" borderId="0" xfId="0" applyFont="1" applyFill="1" applyBorder="1" applyAlignment="1" applyProtection="1">
      <alignment horizontal="right" vertical="top"/>
    </xf>
    <xf numFmtId="49" fontId="8" fillId="0" borderId="0" xfId="0" applyNumberFormat="1" applyFont="1" applyFill="1" applyBorder="1" applyProtection="1"/>
    <xf numFmtId="49" fontId="8" fillId="0" borderId="0" xfId="0" applyNumberFormat="1" applyFont="1" applyFill="1" applyBorder="1" applyAlignment="1" applyProtection="1">
      <alignment vertical="center"/>
    </xf>
    <xf numFmtId="194" fontId="9" fillId="0" borderId="0" xfId="0" applyNumberFormat="1" applyFont="1" applyFill="1" applyAlignment="1" applyProtection="1">
      <alignment horizontal="left"/>
    </xf>
    <xf numFmtId="0" fontId="6" fillId="0" borderId="0" xfId="0" applyFont="1" applyFill="1" applyBorder="1" applyAlignment="1" applyProtection="1">
      <alignment horizontal="centerContinuous"/>
    </xf>
    <xf numFmtId="0" fontId="0" fillId="0" borderId="0" xfId="0" applyFont="1" applyFill="1" applyAlignment="1" applyProtection="1">
      <alignment horizontal="centerContinuous"/>
    </xf>
    <xf numFmtId="0" fontId="0" fillId="0" borderId="0" xfId="0" applyFont="1" applyFill="1" applyBorder="1" applyAlignment="1" applyProtection="1">
      <alignment horizontal="centerContinuous"/>
    </xf>
    <xf numFmtId="0" fontId="0" fillId="0" borderId="0" xfId="0" applyAlignment="1">
      <alignment horizontal="centerContinuous"/>
    </xf>
    <xf numFmtId="0" fontId="0" fillId="0" borderId="1" xfId="0" applyBorder="1"/>
    <xf numFmtId="0" fontId="0" fillId="0" borderId="2" xfId="0" applyBorder="1"/>
    <xf numFmtId="194" fontId="0" fillId="0" borderId="2" xfId="0" applyNumberFormat="1" applyFont="1" applyFill="1" applyBorder="1" applyProtection="1"/>
    <xf numFmtId="0" fontId="0" fillId="0" borderId="2" xfId="0" applyFill="1" applyBorder="1"/>
    <xf numFmtId="194" fontId="9" fillId="0" borderId="2" xfId="0" applyNumberFormat="1" applyFont="1" applyFill="1" applyBorder="1" applyAlignment="1" applyProtection="1">
      <alignment horizontal="left"/>
    </xf>
    <xf numFmtId="194" fontId="0" fillId="0" borderId="3" xfId="0" applyNumberFormat="1" applyFont="1" applyFill="1" applyBorder="1" applyProtection="1"/>
    <xf numFmtId="0" fontId="0" fillId="0" borderId="1" xfId="0" applyFont="1" applyFill="1" applyBorder="1" applyProtection="1"/>
    <xf numFmtId="0" fontId="0" fillId="0" borderId="2" xfId="0" applyFont="1" applyFill="1" applyBorder="1" applyAlignment="1" applyProtection="1">
      <alignment horizontal="centerContinuous"/>
    </xf>
    <xf numFmtId="0" fontId="10" fillId="0" borderId="4" xfId="0" applyFont="1" applyFill="1" applyBorder="1" applyAlignment="1" applyProtection="1">
      <alignment horizontal="right" vertical="center"/>
    </xf>
    <xf numFmtId="0" fontId="11" fillId="0" borderId="5" xfId="0" applyFont="1" applyFill="1" applyBorder="1" applyAlignment="1" applyProtection="1">
      <alignment horizontal="center" vertical="center"/>
      <protection locked="0"/>
    </xf>
    <xf numFmtId="0" fontId="12" fillId="3" borderId="6" xfId="0" applyFont="1" applyFill="1" applyBorder="1" applyAlignment="1"/>
    <xf numFmtId="0" fontId="13" fillId="3" borderId="7" xfId="0" applyFont="1" applyFill="1" applyBorder="1" applyAlignment="1">
      <alignment horizontal="centerContinuous"/>
    </xf>
    <xf numFmtId="0" fontId="0" fillId="3" borderId="7" xfId="0" applyFill="1" applyBorder="1" applyAlignment="1">
      <alignment horizontal="centerContinuous"/>
    </xf>
    <xf numFmtId="1" fontId="13" fillId="3" borderId="7" xfId="0" applyNumberFormat="1" applyFont="1" applyFill="1" applyBorder="1" applyAlignment="1">
      <alignment horizontal="centerContinuous"/>
    </xf>
    <xf numFmtId="0" fontId="2" fillId="2" borderId="0" xfId="0" applyFont="1" applyFill="1" applyAlignment="1" applyProtection="1">
      <protection locked="0"/>
    </xf>
    <xf numFmtId="0" fontId="14" fillId="0" borderId="0" xfId="0" applyNumberFormat="1" applyFont="1" applyFill="1" applyBorder="1" applyAlignment="1" applyProtection="1">
      <alignment horizontal="left"/>
    </xf>
    <xf numFmtId="0" fontId="2" fillId="0" borderId="0" xfId="0" applyFont="1" applyFill="1"/>
    <xf numFmtId="0" fontId="10" fillId="0" borderId="8" xfId="0" applyFont="1" applyFill="1" applyBorder="1"/>
    <xf numFmtId="0" fontId="0" fillId="0" borderId="9" xfId="0" applyFont="1" applyBorder="1"/>
    <xf numFmtId="0" fontId="0" fillId="0" borderId="10" xfId="0" applyFont="1" applyFill="1" applyBorder="1" applyAlignment="1">
      <alignment horizontal="center"/>
    </xf>
    <xf numFmtId="1" fontId="0" fillId="0" borderId="11" xfId="0" applyNumberFormat="1" applyFont="1" applyFill="1" applyBorder="1" applyAlignment="1">
      <alignment horizontal="center"/>
    </xf>
    <xf numFmtId="0" fontId="13" fillId="3" borderId="1" xfId="0" applyFont="1" applyFill="1" applyBorder="1"/>
    <xf numFmtId="0" fontId="13" fillId="3" borderId="3" xfId="0" applyFont="1" applyFill="1" applyBorder="1"/>
    <xf numFmtId="0" fontId="10" fillId="0" borderId="12" xfId="0" applyNumberFormat="1" applyFont="1" applyFill="1" applyBorder="1" applyAlignment="1" applyProtection="1"/>
    <xf numFmtId="0" fontId="15" fillId="0" borderId="13" xfId="0" applyNumberFormat="1" applyFont="1" applyFill="1" applyBorder="1" applyAlignment="1" applyProtection="1">
      <protection locked="0"/>
    </xf>
    <xf numFmtId="0" fontId="10" fillId="0" borderId="9" xfId="0" applyNumberFormat="1" applyFont="1" applyFill="1" applyBorder="1" applyAlignment="1" applyProtection="1">
      <protection locked="0"/>
    </xf>
    <xf numFmtId="0" fontId="0" fillId="0" borderId="9" xfId="0" applyNumberFormat="1" applyFont="1" applyFill="1" applyBorder="1" applyAlignment="1" applyProtection="1"/>
    <xf numFmtId="0" fontId="10" fillId="0" borderId="13" xfId="0" applyNumberFormat="1" applyFont="1" applyFill="1" applyBorder="1" applyAlignment="1" applyProtection="1"/>
    <xf numFmtId="0" fontId="16" fillId="0" borderId="10" xfId="0" applyNumberFormat="1" applyFont="1" applyFill="1" applyBorder="1" applyAlignment="1" applyProtection="1">
      <protection locked="0"/>
    </xf>
    <xf numFmtId="0" fontId="17" fillId="0" borderId="9" xfId="0" applyNumberFormat="1" applyFont="1" applyFill="1" applyBorder="1" applyAlignment="1" applyProtection="1"/>
    <xf numFmtId="0" fontId="10" fillId="0" borderId="13" xfId="0" applyFont="1" applyFill="1" applyBorder="1" applyAlignment="1">
      <alignment vertical="center"/>
    </xf>
    <xf numFmtId="14" fontId="18" fillId="0" borderId="10" xfId="0" applyNumberFormat="1" applyFont="1" applyFill="1" applyBorder="1" applyAlignment="1" applyProtection="1">
      <alignment horizontal="left" vertical="center"/>
      <protection locked="0"/>
    </xf>
    <xf numFmtId="14" fontId="15" fillId="0" borderId="14" xfId="0" applyNumberFormat="1" applyFont="1" applyFill="1" applyBorder="1" applyAlignment="1" applyProtection="1">
      <alignment horizontal="centerContinuous" vertical="center"/>
      <protection locked="0"/>
    </xf>
    <xf numFmtId="0" fontId="19" fillId="0" borderId="15" xfId="0" applyFont="1" applyFill="1" applyBorder="1"/>
    <xf numFmtId="0" fontId="19" fillId="0" borderId="0" xfId="0" applyFont="1" applyBorder="1"/>
    <xf numFmtId="0" fontId="20" fillId="0" borderId="0" xfId="0" applyFont="1" applyBorder="1"/>
    <xf numFmtId="1" fontId="21" fillId="0" borderId="16" xfId="0" applyNumberFormat="1" applyFont="1" applyFill="1" applyBorder="1" applyAlignment="1">
      <alignment horizontal="center"/>
    </xf>
    <xf numFmtId="1" fontId="21" fillId="0" borderId="17" xfId="0" applyNumberFormat="1" applyFont="1" applyFill="1" applyBorder="1" applyAlignment="1">
      <alignment horizontal="center"/>
    </xf>
    <xf numFmtId="0" fontId="13" fillId="3" borderId="6" xfId="0" applyFont="1" applyFill="1" applyBorder="1"/>
    <xf numFmtId="0" fontId="13" fillId="3" borderId="18" xfId="0" applyFont="1" applyFill="1" applyBorder="1"/>
    <xf numFmtId="0" fontId="10" fillId="0" borderId="19" xfId="0" applyNumberFormat="1" applyFont="1" applyFill="1" applyBorder="1" applyAlignment="1" applyProtection="1"/>
    <xf numFmtId="0" fontId="0" fillId="0" borderId="20" xfId="0" applyNumberFormat="1" applyFont="1" applyFill="1" applyBorder="1" applyAlignment="1" applyProtection="1"/>
    <xf numFmtId="0" fontId="22" fillId="0" borderId="21" xfId="0" applyNumberFormat="1" applyFont="1" applyFill="1" applyBorder="1" applyAlignment="1" applyProtection="1">
      <protection locked="0"/>
    </xf>
    <xf numFmtId="0" fontId="0" fillId="0" borderId="21" xfId="0" applyNumberFormat="1" applyFont="1" applyFill="1" applyBorder="1" applyAlignment="1" applyProtection="1"/>
    <xf numFmtId="0" fontId="0" fillId="0" borderId="0" xfId="0" applyNumberFormat="1" applyFont="1" applyFill="1" applyBorder="1" applyAlignment="1"/>
    <xf numFmtId="0" fontId="10" fillId="0" borderId="22" xfId="0" applyNumberFormat="1" applyFont="1" applyFill="1" applyBorder="1" applyAlignment="1" applyProtection="1"/>
    <xf numFmtId="0" fontId="0" fillId="0" borderId="0" xfId="0" applyNumberFormat="1" applyFont="1" applyFill="1" applyBorder="1"/>
    <xf numFmtId="0" fontId="17" fillId="0" borderId="23" xfId="0" applyNumberFormat="1" applyFont="1" applyFill="1" applyBorder="1" applyAlignment="1" applyProtection="1"/>
    <xf numFmtId="0" fontId="10" fillId="0" borderId="21" xfId="0" applyNumberFormat="1" applyFont="1" applyFill="1" applyBorder="1" applyAlignment="1" applyProtection="1">
      <protection locked="0"/>
    </xf>
    <xf numFmtId="0" fontId="0" fillId="0" borderId="21" xfId="0" applyNumberFormat="1" applyFont="1" applyFill="1" applyBorder="1" applyAlignment="1"/>
    <xf numFmtId="0" fontId="0" fillId="0" borderId="24" xfId="0" applyNumberFormat="1" applyFont="1" applyFill="1" applyBorder="1" applyAlignment="1"/>
    <xf numFmtId="0" fontId="20" fillId="0" borderId="25" xfId="0" applyFont="1" applyFill="1" applyBorder="1"/>
    <xf numFmtId="0" fontId="19" fillId="0" borderId="26" xfId="0" applyFont="1" applyBorder="1"/>
    <xf numFmtId="0" fontId="20" fillId="0" borderId="26" xfId="0" applyFont="1" applyBorder="1"/>
    <xf numFmtId="1" fontId="21" fillId="0" borderId="27" xfId="0" applyNumberFormat="1" applyFont="1" applyFill="1" applyBorder="1" applyAlignment="1">
      <alignment horizontal="center"/>
    </xf>
    <xf numFmtId="1" fontId="21" fillId="0" borderId="28" xfId="0" applyNumberFormat="1" applyFont="1" applyFill="1" applyBorder="1" applyAlignment="1">
      <alignment horizontal="center"/>
    </xf>
    <xf numFmtId="0" fontId="13" fillId="3" borderId="29" xfId="0" applyFont="1" applyFill="1" applyBorder="1"/>
    <xf numFmtId="0" fontId="13" fillId="3" borderId="30" xfId="0" applyFont="1" applyFill="1" applyBorder="1"/>
    <xf numFmtId="0" fontId="15" fillId="0" borderId="22" xfId="0" applyNumberFormat="1" applyFont="1" applyFill="1" applyBorder="1" applyAlignment="1" applyProtection="1">
      <protection locked="0"/>
    </xf>
    <xf numFmtId="0" fontId="0" fillId="0" borderId="20" xfId="0" applyNumberFormat="1" applyFont="1" applyFill="1" applyBorder="1" applyAlignment="1"/>
    <xf numFmtId="0" fontId="0" fillId="0" borderId="20" xfId="0" applyNumberFormat="1" applyFont="1" applyFill="1" applyBorder="1"/>
    <xf numFmtId="0" fontId="15" fillId="0" borderId="23" xfId="0" applyNumberFormat="1" applyFont="1" applyFill="1" applyBorder="1" applyAlignment="1" applyProtection="1">
      <protection locked="0"/>
    </xf>
    <xf numFmtId="0" fontId="0" fillId="0" borderId="21" xfId="0" applyNumberFormat="1" applyFont="1" applyFill="1" applyBorder="1" applyAlignment="1" applyProtection="1">
      <protection locked="0"/>
    </xf>
    <xf numFmtId="0" fontId="0" fillId="0" borderId="24" xfId="0" applyNumberFormat="1" applyFont="1" applyFill="1" applyBorder="1" applyAlignment="1" applyProtection="1"/>
    <xf numFmtId="0" fontId="17" fillId="0" borderId="31" xfId="0" applyNumberFormat="1" applyFont="1" applyFill="1" applyBorder="1" applyAlignment="1" applyProtection="1">
      <protection locked="0"/>
    </xf>
    <xf numFmtId="0" fontId="10" fillId="0" borderId="22" xfId="0" applyNumberFormat="1" applyFont="1" applyFill="1" applyBorder="1"/>
    <xf numFmtId="0" fontId="21" fillId="0" borderId="27" xfId="0" applyFont="1" applyFill="1" applyBorder="1" applyAlignment="1">
      <alignment horizontal="center"/>
    </xf>
    <xf numFmtId="0" fontId="21" fillId="0" borderId="28" xfId="0" applyFont="1" applyFill="1" applyBorder="1" applyAlignment="1">
      <alignment horizontal="center"/>
    </xf>
    <xf numFmtId="194" fontId="13" fillId="3" borderId="18" xfId="0" applyNumberFormat="1" applyFont="1" applyFill="1" applyBorder="1" applyAlignment="1" applyProtection="1"/>
    <xf numFmtId="0" fontId="10" fillId="0" borderId="32" xfId="0" applyNumberFormat="1" applyFont="1" applyFill="1" applyBorder="1" applyProtection="1"/>
    <xf numFmtId="0" fontId="0" fillId="0" borderId="33" xfId="0" applyNumberFormat="1" applyFont="1" applyFill="1" applyBorder="1" applyAlignment="1" applyProtection="1"/>
    <xf numFmtId="0" fontId="15" fillId="0" borderId="31" xfId="0" applyNumberFormat="1" applyFont="1" applyFill="1" applyBorder="1" applyAlignment="1" applyProtection="1">
      <protection locked="0"/>
    </xf>
    <xf numFmtId="0" fontId="0" fillId="0" borderId="34" xfId="0" applyNumberFormat="1" applyFont="1" applyFill="1" applyBorder="1" applyAlignment="1" applyProtection="1"/>
    <xf numFmtId="0" fontId="0" fillId="0" borderId="34" xfId="0" applyNumberFormat="1" applyFont="1" applyFill="1" applyBorder="1" applyAlignment="1"/>
    <xf numFmtId="0" fontId="0" fillId="0" borderId="33" xfId="0" applyNumberFormat="1" applyFont="1" applyFill="1" applyBorder="1" applyAlignment="1"/>
    <xf numFmtId="0" fontId="10" fillId="0" borderId="35" xfId="0" applyNumberFormat="1" applyFont="1" applyFill="1" applyBorder="1" applyAlignment="1"/>
    <xf numFmtId="0" fontId="15" fillId="0" borderId="31" xfId="0" applyNumberFormat="1" applyFont="1" applyFill="1" applyBorder="1" applyProtection="1">
      <protection locked="0"/>
    </xf>
    <xf numFmtId="0" fontId="0" fillId="0" borderId="34" xfId="0" applyNumberFormat="1" applyFont="1" applyFill="1" applyBorder="1" applyProtection="1"/>
    <xf numFmtId="0" fontId="0" fillId="0" borderId="36" xfId="0" applyNumberFormat="1" applyFont="1" applyFill="1" applyBorder="1" applyProtection="1"/>
    <xf numFmtId="0" fontId="19" fillId="0" borderId="25" xfId="0" applyFont="1" applyFill="1" applyBorder="1"/>
    <xf numFmtId="0" fontId="20" fillId="0" borderId="26" xfId="0" applyFont="1" applyFill="1" applyBorder="1"/>
    <xf numFmtId="0" fontId="21" fillId="0" borderId="23" xfId="0" applyFont="1" applyFill="1" applyBorder="1" applyAlignment="1">
      <alignment horizontal="center"/>
    </xf>
    <xf numFmtId="0" fontId="21" fillId="0" borderId="37" xfId="0" applyFont="1" applyFill="1" applyBorder="1" applyAlignment="1">
      <alignment horizontal="center"/>
    </xf>
    <xf numFmtId="0" fontId="13" fillId="3" borderId="15" xfId="0" applyFont="1" applyFill="1" applyBorder="1"/>
    <xf numFmtId="194" fontId="13" fillId="3" borderId="38" xfId="0" applyNumberFormat="1" applyFont="1" applyFill="1" applyBorder="1" applyProtection="1"/>
    <xf numFmtId="0" fontId="10" fillId="0" borderId="8" xfId="0" applyNumberFormat="1" applyFont="1" applyFill="1" applyBorder="1" applyAlignment="1" applyProtection="1"/>
    <xf numFmtId="195" fontId="15" fillId="0" borderId="9" xfId="0" applyNumberFormat="1" applyFont="1" applyFill="1" applyBorder="1" applyAlignment="1" applyProtection="1">
      <alignment horizontal="centerContinuous"/>
      <protection locked="0"/>
    </xf>
    <xf numFmtId="0" fontId="0" fillId="0" borderId="9" xfId="0" applyFont="1" applyFill="1" applyBorder="1" applyAlignment="1">
      <alignment horizontal="centerContinuous"/>
    </xf>
    <xf numFmtId="0" fontId="0" fillId="0" borderId="39" xfId="0" applyNumberFormat="1" applyFont="1" applyFill="1" applyBorder="1" applyAlignment="1">
      <alignment horizontal="centerContinuous"/>
    </xf>
    <xf numFmtId="0" fontId="10" fillId="0" borderId="10" xfId="0" applyNumberFormat="1" applyFont="1" applyFill="1" applyBorder="1" applyAlignment="1"/>
    <xf numFmtId="0" fontId="0" fillId="0" borderId="9" xfId="0" applyNumberFormat="1" applyFont="1" applyFill="1" applyBorder="1" applyAlignment="1"/>
    <xf numFmtId="0" fontId="0" fillId="0" borderId="9" xfId="0" applyNumberFormat="1" applyFont="1" applyFill="1" applyBorder="1" applyAlignment="1">
      <alignment horizontal="centerContinuous"/>
    </xf>
    <xf numFmtId="0" fontId="10" fillId="0" borderId="7" xfId="0" applyNumberFormat="1" applyFont="1" applyFill="1" applyBorder="1" applyAlignment="1" applyProtection="1"/>
    <xf numFmtId="195" fontId="15" fillId="0" borderId="9" xfId="0" applyNumberFormat="1" applyFont="1" applyFill="1" applyBorder="1" applyAlignment="1" applyProtection="1">
      <alignment horizontal="centerContinuous"/>
    </xf>
    <xf numFmtId="0" fontId="0" fillId="0" borderId="14" xfId="0" applyFont="1" applyFill="1" applyBorder="1" applyProtection="1"/>
    <xf numFmtId="0" fontId="19" fillId="0" borderId="40" xfId="0" applyFont="1" applyFill="1" applyBorder="1"/>
    <xf numFmtId="0" fontId="20" fillId="0" borderId="35" xfId="0" applyFont="1" applyFill="1" applyBorder="1"/>
    <xf numFmtId="0" fontId="21" fillId="0" borderId="33" xfId="0" applyFont="1" applyFill="1" applyBorder="1" applyAlignment="1">
      <alignment horizontal="center"/>
    </xf>
    <xf numFmtId="0" fontId="21" fillId="0" borderId="41" xfId="0" applyFont="1" applyFill="1" applyBorder="1" applyAlignment="1">
      <alignment horizontal="center"/>
    </xf>
    <xf numFmtId="0" fontId="13" fillId="3" borderId="29" xfId="0" applyFont="1" applyFill="1" applyBorder="1" applyProtection="1"/>
    <xf numFmtId="194" fontId="13" fillId="3" borderId="30" xfId="0" applyNumberFormat="1" applyFont="1" applyFill="1" applyBorder="1" applyProtection="1"/>
    <xf numFmtId="0" fontId="0" fillId="0" borderId="42" xfId="0" applyNumberFormat="1" applyFont="1" applyFill="1" applyBorder="1" applyProtection="1"/>
    <xf numFmtId="195" fontId="17" fillId="0" borderId="43" xfId="0" applyNumberFormat="1" applyFont="1" applyFill="1" applyBorder="1" applyAlignment="1" applyProtection="1">
      <alignment horizontal="centerContinuous"/>
    </xf>
    <xf numFmtId="0" fontId="0" fillId="0" borderId="43" xfId="0" applyNumberFormat="1" applyFont="1" applyFill="1" applyBorder="1" applyAlignment="1" applyProtection="1">
      <alignment horizontal="centerContinuous"/>
    </xf>
    <xf numFmtId="0" fontId="0" fillId="0" borderId="44" xfId="0" applyNumberFormat="1" applyFont="1" applyFill="1" applyBorder="1" applyAlignment="1" applyProtection="1">
      <alignment horizontal="centerContinuous"/>
    </xf>
    <xf numFmtId="0" fontId="0" fillId="0" borderId="45" xfId="0" applyNumberFormat="1" applyFont="1" applyFill="1" applyBorder="1" applyProtection="1"/>
    <xf numFmtId="0" fontId="0" fillId="0" borderId="43" xfId="0" applyNumberFormat="1" applyFont="1" applyFill="1" applyBorder="1" applyProtection="1"/>
    <xf numFmtId="0" fontId="0" fillId="0" borderId="44" xfId="0" applyNumberFormat="1" applyFont="1" applyFill="1" applyBorder="1" applyAlignment="1">
      <alignment horizontal="centerContinuous"/>
    </xf>
    <xf numFmtId="0" fontId="0" fillId="0" borderId="30" xfId="0" applyFont="1" applyFill="1" applyBorder="1" applyProtection="1"/>
    <xf numFmtId="0" fontId="19" fillId="0" borderId="29" xfId="0" applyFont="1" applyFill="1" applyBorder="1"/>
    <xf numFmtId="0" fontId="20" fillId="0" borderId="46" xfId="0" applyFont="1" applyFill="1" applyBorder="1"/>
    <xf numFmtId="0" fontId="21" fillId="0" borderId="47" xfId="0" applyFont="1" applyFill="1" applyBorder="1" applyAlignment="1">
      <alignment horizontal="center"/>
    </xf>
    <xf numFmtId="0" fontId="21" fillId="0" borderId="48" xfId="0" applyFont="1" applyFill="1" applyBorder="1" applyAlignment="1">
      <alignment horizontal="center"/>
    </xf>
    <xf numFmtId="194" fontId="0" fillId="0" borderId="15" xfId="0" applyNumberFormat="1" applyFont="1" applyFill="1" applyBorder="1" applyProtection="1"/>
    <xf numFmtId="194" fontId="0" fillId="0" borderId="0" xfId="0" applyNumberFormat="1" applyFont="1" applyFill="1" applyBorder="1" applyProtection="1"/>
    <xf numFmtId="0" fontId="0" fillId="0" borderId="0" xfId="0" applyFont="1" applyFill="1" applyBorder="1" applyProtection="1"/>
    <xf numFmtId="0" fontId="17" fillId="0" borderId="0" xfId="0" applyFont="1" applyFill="1" applyBorder="1" applyProtection="1"/>
    <xf numFmtId="0" fontId="17" fillId="0" borderId="0" xfId="0" applyFont="1" applyFill="1" applyBorder="1"/>
    <xf numFmtId="194" fontId="0" fillId="0" borderId="15" xfId="0" applyNumberFormat="1" applyFont="1" applyFill="1" applyBorder="1" applyAlignment="1" applyProtection="1">
      <alignment horizontal="center"/>
    </xf>
    <xf numFmtId="0" fontId="0" fillId="0" borderId="15" xfId="0" applyFont="1" applyFill="1" applyBorder="1" applyProtection="1"/>
    <xf numFmtId="0" fontId="0" fillId="0" borderId="15" xfId="0" applyFont="1" applyFill="1" applyBorder="1" applyAlignment="1" applyProtection="1"/>
    <xf numFmtId="0" fontId="0" fillId="0" borderId="0" xfId="0" applyFont="1" applyFill="1" applyBorder="1" applyAlignment="1" applyProtection="1"/>
    <xf numFmtId="0" fontId="0" fillId="0" borderId="0" xfId="0" applyFont="1" applyFill="1" applyAlignment="1" applyProtection="1"/>
    <xf numFmtId="0" fontId="20" fillId="0" borderId="0" xfId="0" applyFont="1" applyFill="1" applyAlignment="1" applyProtection="1">
      <alignment horizontal="center"/>
    </xf>
    <xf numFmtId="0" fontId="20" fillId="0" borderId="0" xfId="0" applyFont="1" applyFill="1" applyProtection="1"/>
    <xf numFmtId="0" fontId="1" fillId="2" borderId="0" xfId="0" applyFont="1" applyFill="1" applyAlignment="1" applyProtection="1"/>
    <xf numFmtId="0" fontId="0" fillId="0" borderId="15" xfId="0" applyFill="1" applyBorder="1" applyProtection="1"/>
    <xf numFmtId="0" fontId="0" fillId="0" borderId="0" xfId="0" applyFill="1" applyBorder="1" applyProtection="1"/>
    <xf numFmtId="0" fontId="17" fillId="0" borderId="10" xfId="0" applyNumberFormat="1" applyFont="1" applyFill="1" applyBorder="1" applyAlignment="1" applyProtection="1"/>
    <xf numFmtId="14" fontId="17" fillId="0" borderId="9" xfId="0" applyNumberFormat="1" applyFont="1" applyFill="1" applyBorder="1" applyAlignment="1" applyProtection="1">
      <alignment horizontal="centerContinuous" vertical="center"/>
    </xf>
    <xf numFmtId="14" fontId="0" fillId="0" borderId="14" xfId="0" applyNumberFormat="1" applyFont="1" applyFill="1" applyBorder="1" applyAlignment="1" applyProtection="1">
      <alignment horizontal="centerContinuous" vertical="center"/>
    </xf>
    <xf numFmtId="0" fontId="12" fillId="3" borderId="7" xfId="0" applyFont="1" applyFill="1" applyBorder="1" applyProtection="1"/>
    <xf numFmtId="0" fontId="0" fillId="3" borderId="7" xfId="0" applyFill="1" applyBorder="1"/>
    <xf numFmtId="1" fontId="0" fillId="3" borderId="7" xfId="0" applyNumberFormat="1" applyFill="1" applyBorder="1"/>
    <xf numFmtId="196" fontId="13" fillId="3" borderId="49" xfId="0" applyNumberFormat="1" applyFont="1" applyFill="1" applyBorder="1" applyAlignment="1" applyProtection="1">
      <alignment horizontal="centerContinuous"/>
    </xf>
    <xf numFmtId="0" fontId="0" fillId="3" borderId="18" xfId="0" applyFill="1" applyBorder="1" applyAlignment="1">
      <alignment horizontal="centerContinuous"/>
    </xf>
    <xf numFmtId="0" fontId="17" fillId="0" borderId="21" xfId="0" applyNumberFormat="1" applyFont="1" applyFill="1" applyBorder="1" applyAlignment="1" applyProtection="1"/>
    <xf numFmtId="0" fontId="17" fillId="0" borderId="22" xfId="0" applyNumberFormat="1" applyFont="1" applyFill="1" applyBorder="1" applyAlignment="1" applyProtection="1"/>
    <xf numFmtId="0" fontId="10" fillId="0" borderId="22" xfId="0" applyFont="1" applyFill="1" applyBorder="1" applyProtection="1"/>
    <xf numFmtId="0" fontId="0" fillId="0" borderId="21" xfId="0" applyBorder="1"/>
    <xf numFmtId="0" fontId="0" fillId="0" borderId="21" xfId="0" applyFill="1" applyBorder="1"/>
    <xf numFmtId="3" fontId="17" fillId="0" borderId="22" xfId="0" applyNumberFormat="1" applyFont="1" applyFill="1" applyBorder="1" applyAlignment="1" applyProtection="1">
      <alignment horizontal="centerContinuous"/>
    </xf>
    <xf numFmtId="0" fontId="0" fillId="0" borderId="24" xfId="0" applyBorder="1" applyAlignment="1">
      <alignment horizontal="centerContinuous"/>
    </xf>
    <xf numFmtId="0" fontId="10" fillId="0" borderId="31" xfId="0" applyFont="1" applyFill="1" applyBorder="1" applyProtection="1"/>
    <xf numFmtId="0" fontId="0" fillId="0" borderId="34" xfId="0" applyBorder="1"/>
    <xf numFmtId="0" fontId="0" fillId="0" borderId="34" xfId="0" applyFill="1" applyBorder="1"/>
    <xf numFmtId="197" fontId="17" fillId="0" borderId="31" xfId="0" applyNumberFormat="1" applyFont="1" applyFill="1" applyBorder="1" applyAlignment="1" applyProtection="1">
      <alignment horizontal="centerContinuous"/>
    </xf>
    <xf numFmtId="0" fontId="0" fillId="0" borderId="36" xfId="0" applyBorder="1" applyAlignment="1">
      <alignment horizontal="centerContinuous"/>
    </xf>
    <xf numFmtId="0" fontId="17" fillId="0" borderId="31" xfId="0" applyNumberFormat="1" applyFont="1" applyFill="1" applyBorder="1" applyAlignment="1" applyProtection="1"/>
    <xf numFmtId="0" fontId="10" fillId="0" borderId="16" xfId="0" applyFont="1" applyFill="1" applyBorder="1" applyProtection="1"/>
    <xf numFmtId="0" fontId="0" fillId="0" borderId="0" xfId="0" applyBorder="1"/>
    <xf numFmtId="0" fontId="0" fillId="0" borderId="0" xfId="0" applyFill="1" applyBorder="1"/>
    <xf numFmtId="197" fontId="17" fillId="0" borderId="16" xfId="0" applyNumberFormat="1" applyFont="1" applyFill="1" applyBorder="1" applyAlignment="1" applyProtection="1">
      <alignment horizontal="centerContinuous"/>
    </xf>
    <xf numFmtId="0" fontId="0" fillId="0" borderId="38" xfId="0" applyBorder="1" applyAlignment="1">
      <alignment horizontal="centerContinuous"/>
    </xf>
    <xf numFmtId="0" fontId="10" fillId="0" borderId="19" xfId="0" applyNumberFormat="1" applyFont="1" applyFill="1" applyBorder="1" applyProtection="1"/>
    <xf numFmtId="0" fontId="10" fillId="0" borderId="23" xfId="0" applyNumberFormat="1" applyFont="1" applyFill="1" applyBorder="1" applyAlignment="1"/>
    <xf numFmtId="0" fontId="17" fillId="0" borderId="22" xfId="0" applyNumberFormat="1" applyFont="1" applyFill="1" applyBorder="1" applyProtection="1"/>
    <xf numFmtId="0" fontId="0" fillId="0" borderId="21" xfId="0" applyNumberFormat="1" applyFont="1" applyFill="1" applyBorder="1" applyProtection="1"/>
    <xf numFmtId="0" fontId="0" fillId="0" borderId="24" xfId="0" applyNumberFormat="1" applyFont="1" applyFill="1" applyBorder="1" applyProtection="1"/>
    <xf numFmtId="0" fontId="10" fillId="0" borderId="27" xfId="0" applyFont="1" applyFill="1" applyBorder="1" applyProtection="1"/>
    <xf numFmtId="0" fontId="0" fillId="0" borderId="26" xfId="0" applyBorder="1"/>
    <xf numFmtId="0" fontId="0" fillId="0" borderId="26" xfId="0" applyFont="1" applyFill="1" applyBorder="1" applyProtection="1"/>
    <xf numFmtId="197" fontId="17" fillId="0" borderId="27" xfId="0" applyNumberFormat="1" applyFont="1" applyFill="1" applyBorder="1" applyAlignment="1" applyProtection="1">
      <alignment horizontal="centerContinuous"/>
    </xf>
    <xf numFmtId="0" fontId="0" fillId="0" borderId="50" xfId="0" applyBorder="1" applyAlignment="1">
      <alignment horizontal="centerContinuous"/>
    </xf>
    <xf numFmtId="195" fontId="17" fillId="0" borderId="9" xfId="0" applyNumberFormat="1" applyFont="1" applyFill="1" applyBorder="1" applyAlignment="1" applyProtection="1">
      <alignment horizontal="centerContinuous"/>
    </xf>
    <xf numFmtId="0" fontId="2" fillId="0" borderId="9" xfId="0" applyFont="1" applyFill="1" applyBorder="1" applyAlignment="1">
      <alignment horizontal="centerContinuous"/>
    </xf>
    <xf numFmtId="195" fontId="17" fillId="0" borderId="7" xfId="0" applyNumberFormat="1" applyFont="1" applyFill="1" applyBorder="1" applyAlignment="1" applyProtection="1">
      <alignment horizontal="centerContinuous"/>
    </xf>
    <xf numFmtId="0" fontId="0" fillId="0" borderId="7" xfId="0" applyNumberFormat="1" applyFont="1" applyFill="1" applyBorder="1" applyAlignment="1" applyProtection="1">
      <alignment horizontal="centerContinuous"/>
    </xf>
    <xf numFmtId="0" fontId="0" fillId="0" borderId="18" xfId="0" applyNumberFormat="1" applyFont="1" applyFill="1" applyBorder="1" applyAlignment="1" applyProtection="1">
      <alignment horizontal="centerContinuous"/>
    </xf>
    <xf numFmtId="0" fontId="0" fillId="0" borderId="34" xfId="0" applyFont="1" applyFill="1" applyBorder="1" applyProtection="1"/>
    <xf numFmtId="0" fontId="0" fillId="0" borderId="51" xfId="0" applyNumberFormat="1" applyFont="1" applyFill="1" applyBorder="1" applyAlignment="1" applyProtection="1">
      <alignment horizontal="centerContinuous"/>
    </xf>
    <xf numFmtId="0" fontId="13" fillId="3" borderId="6" xfId="0" applyFont="1" applyFill="1" applyBorder="1" applyAlignment="1">
      <alignment horizontal="centerContinuous"/>
    </xf>
    <xf numFmtId="0" fontId="13" fillId="3" borderId="18" xfId="0" applyFont="1" applyFill="1" applyBorder="1" applyAlignment="1">
      <alignment horizontal="centerContinuous"/>
    </xf>
    <xf numFmtId="0" fontId="13" fillId="3" borderId="52" xfId="0" applyFont="1" applyFill="1" applyBorder="1" applyAlignment="1">
      <alignment horizontal="centerContinuous"/>
    </xf>
    <xf numFmtId="0" fontId="0" fillId="0" borderId="0" xfId="0" applyFont="1" applyFill="1" applyAlignment="1" applyProtection="1">
      <alignment horizontal="center"/>
    </xf>
    <xf numFmtId="0" fontId="23" fillId="0" borderId="0" xfId="0" applyFont="1" applyFill="1" applyBorder="1" applyAlignment="1" applyProtection="1">
      <alignment horizontal="right" vertical="top"/>
    </xf>
    <xf numFmtId="0" fontId="23" fillId="0" borderId="0" xfId="0" applyFont="1" applyFill="1" applyBorder="1" applyAlignment="1" applyProtection="1">
      <alignment horizontal="center"/>
    </xf>
    <xf numFmtId="0" fontId="24" fillId="0" borderId="0" xfId="0" applyFont="1" applyFill="1" applyBorder="1" applyAlignment="1" applyProtection="1">
      <alignment horizontal="center" vertical="top"/>
    </xf>
    <xf numFmtId="0" fontId="20" fillId="0" borderId="38" xfId="0" applyFont="1" applyFill="1" applyBorder="1" applyAlignment="1" applyProtection="1">
      <alignment horizontal="left" vertical="top"/>
    </xf>
    <xf numFmtId="3" fontId="17" fillId="0" borderId="16" xfId="0" applyNumberFormat="1" applyFont="1" applyFill="1" applyBorder="1" applyAlignment="1" applyProtection="1">
      <alignment horizontal="centerContinuous"/>
    </xf>
    <xf numFmtId="0" fontId="0" fillId="0" borderId="38" xfId="0" applyFont="1" applyFill="1" applyBorder="1" applyProtection="1"/>
    <xf numFmtId="3" fontId="17" fillId="0" borderId="27" xfId="0" applyNumberFormat="1" applyFont="1" applyFill="1" applyBorder="1" applyAlignment="1" applyProtection="1">
      <alignment horizontal="centerContinuous"/>
    </xf>
    <xf numFmtId="194" fontId="20" fillId="0" borderId="0" xfId="0" applyNumberFormat="1" applyFont="1" applyFill="1" applyBorder="1" applyProtection="1"/>
    <xf numFmtId="2" fontId="20" fillId="0" borderId="0" xfId="0" applyNumberFormat="1" applyFont="1" applyFill="1" applyBorder="1" applyAlignment="1">
      <alignment horizontal="left"/>
    </xf>
    <xf numFmtId="194" fontId="20" fillId="0" borderId="0" xfId="0" applyNumberFormat="1" applyFont="1" applyFill="1" applyBorder="1" applyAlignment="1" applyProtection="1">
      <alignment horizontal="right"/>
    </xf>
    <xf numFmtId="2" fontId="20" fillId="0" borderId="38" xfId="0" applyNumberFormat="1" applyFont="1" applyFill="1" applyBorder="1" applyAlignment="1" applyProtection="1">
      <alignment horizontal="left"/>
    </xf>
    <xf numFmtId="0" fontId="0" fillId="0" borderId="16" xfId="0" applyFill="1" applyBorder="1" applyProtection="1"/>
    <xf numFmtId="0" fontId="0" fillId="0" borderId="0" xfId="0" applyBorder="1" applyAlignment="1">
      <alignment horizontal="right"/>
    </xf>
    <xf numFmtId="0" fontId="0" fillId="0" borderId="0" xfId="0" applyFont="1" applyFill="1" applyBorder="1" applyAlignment="1" applyProtection="1">
      <alignment horizontal="left"/>
    </xf>
    <xf numFmtId="0" fontId="10" fillId="0" borderId="16" xfId="0" applyFont="1" applyFill="1" applyBorder="1" applyAlignment="1" applyProtection="1"/>
    <xf numFmtId="197" fontId="25" fillId="0" borderId="16" xfId="0" applyNumberFormat="1" applyFont="1" applyFill="1" applyBorder="1" applyAlignment="1" applyProtection="1">
      <alignment horizontal="centerContinuous"/>
    </xf>
    <xf numFmtId="0" fontId="0" fillId="0" borderId="31" xfId="0" applyFont="1" applyFill="1" applyBorder="1" applyProtection="1"/>
    <xf numFmtId="0" fontId="0" fillId="0" borderId="16" xfId="0" applyFont="1" applyFill="1" applyBorder="1" applyProtection="1"/>
    <xf numFmtId="0" fontId="26" fillId="0" borderId="16" xfId="0" applyFont="1" applyFill="1" applyBorder="1" applyProtection="1"/>
    <xf numFmtId="0" fontId="13" fillId="3" borderId="1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20" fillId="0" borderId="12" xfId="0" applyFont="1" applyFill="1" applyBorder="1" applyAlignment="1" applyProtection="1">
      <alignment horizontal="right"/>
    </xf>
    <xf numFmtId="0" fontId="20" fillId="0" borderId="53" xfId="0" applyFont="1" applyFill="1" applyBorder="1" applyAlignment="1" applyProtection="1">
      <alignment horizontal="center"/>
    </xf>
    <xf numFmtId="0" fontId="20" fillId="0" borderId="54" xfId="0" applyFont="1" applyFill="1" applyBorder="1" applyAlignment="1" applyProtection="1">
      <alignment horizontal="center"/>
    </xf>
    <xf numFmtId="0" fontId="20" fillId="0" borderId="19" xfId="0" applyFont="1" applyFill="1" applyBorder="1" applyAlignment="1" applyProtection="1">
      <alignment horizontal="right"/>
    </xf>
    <xf numFmtId="195" fontId="27" fillId="0" borderId="23" xfId="0" applyNumberFormat="1" applyFont="1" applyFill="1" applyBorder="1" applyProtection="1">
      <protection locked="0"/>
    </xf>
    <xf numFmtId="0" fontId="20" fillId="0" borderId="55" xfId="0" applyFont="1" applyFill="1" applyBorder="1" applyAlignment="1" applyProtection="1">
      <alignment horizontal="right"/>
    </xf>
    <xf numFmtId="195" fontId="27" fillId="0" borderId="56" xfId="0" applyNumberFormat="1" applyFont="1" applyFill="1" applyBorder="1" applyProtection="1">
      <protection locked="0"/>
    </xf>
    <xf numFmtId="195" fontId="27" fillId="0" borderId="28" xfId="0" applyNumberFormat="1" applyFont="1" applyFill="1" applyBorder="1" applyProtection="1">
      <protection locked="0"/>
    </xf>
    <xf numFmtId="195" fontId="27" fillId="0" borderId="37" xfId="0" applyNumberFormat="1" applyFont="1" applyFill="1" applyBorder="1" applyProtection="1">
      <protection locked="0"/>
    </xf>
    <xf numFmtId="0" fontId="20" fillId="0" borderId="40" xfId="0" applyFont="1" applyFill="1" applyBorder="1" applyAlignment="1" applyProtection="1">
      <alignment horizontal="right"/>
    </xf>
    <xf numFmtId="0" fontId="20" fillId="0" borderId="12" xfId="0" applyFont="1" applyFill="1" applyBorder="1" applyAlignment="1" applyProtection="1">
      <alignment horizontal="left"/>
    </xf>
    <xf numFmtId="195" fontId="20" fillId="0" borderId="13" xfId="0" applyNumberFormat="1" applyFont="1" applyFill="1" applyBorder="1" applyProtection="1"/>
    <xf numFmtId="195" fontId="20" fillId="0" borderId="11" xfId="0" applyNumberFormat="1" applyFont="1" applyFill="1" applyBorder="1" applyProtection="1"/>
    <xf numFmtId="0" fontId="20" fillId="0" borderId="57" xfId="0" applyFont="1" applyFill="1" applyBorder="1" applyAlignment="1" applyProtection="1">
      <alignment horizontal="left"/>
    </xf>
    <xf numFmtId="195" fontId="20" fillId="0" borderId="47" xfId="0" applyNumberFormat="1" applyFont="1" applyFill="1" applyBorder="1" applyProtection="1"/>
    <xf numFmtId="195" fontId="20" fillId="0" borderId="48" xfId="0" applyNumberFormat="1" applyFont="1" applyFill="1" applyBorder="1" applyProtection="1"/>
    <xf numFmtId="0" fontId="20" fillId="0" borderId="13" xfId="0" applyFont="1" applyFill="1" applyBorder="1" applyAlignment="1" applyProtection="1">
      <alignment horizontal="center"/>
    </xf>
    <xf numFmtId="0" fontId="20" fillId="0" borderId="11" xfId="0" applyFont="1" applyFill="1" applyBorder="1" applyAlignment="1" applyProtection="1">
      <alignment horizontal="center"/>
    </xf>
    <xf numFmtId="0" fontId="0" fillId="3" borderId="0" xfId="0" applyFont="1" applyFill="1" applyProtection="1"/>
    <xf numFmtId="0" fontId="13" fillId="3" borderId="8" xfId="0" applyFont="1" applyFill="1" applyBorder="1" applyAlignment="1" applyProtection="1">
      <alignment horizontal="center"/>
    </xf>
    <xf numFmtId="0" fontId="13" fillId="3" borderId="9" xfId="0" applyFont="1" applyFill="1" applyBorder="1" applyAlignment="1" applyProtection="1">
      <alignment horizontal="center"/>
    </xf>
    <xf numFmtId="0" fontId="0" fillId="3" borderId="9" xfId="0" applyFont="1" applyFill="1" applyBorder="1" applyProtection="1"/>
    <xf numFmtId="0" fontId="0" fillId="3" borderId="14" xfId="0" applyFont="1" applyFill="1" applyBorder="1" applyProtection="1"/>
    <xf numFmtId="0" fontId="0" fillId="0" borderId="19" xfId="0" applyFont="1" applyFill="1" applyBorder="1" applyAlignment="1" applyProtection="1"/>
    <xf numFmtId="0" fontId="0" fillId="0" borderId="21" xfId="0" applyFont="1" applyFill="1" applyBorder="1" applyAlignment="1" applyProtection="1"/>
    <xf numFmtId="0" fontId="17" fillId="0" borderId="21" xfId="0" applyFont="1" applyFill="1" applyBorder="1" applyAlignment="1" applyProtection="1"/>
    <xf numFmtId="0" fontId="0" fillId="0" borderId="24" xfId="0" applyFont="1" applyFill="1" applyBorder="1" applyAlignment="1" applyProtection="1"/>
    <xf numFmtId="0" fontId="21" fillId="0" borderId="19" xfId="0" applyFont="1" applyFill="1" applyBorder="1" applyAlignment="1" applyProtection="1">
      <alignment vertical="top"/>
    </xf>
    <xf numFmtId="0" fontId="0" fillId="0" borderId="21" xfId="0" applyBorder="1" applyAlignment="1" applyProtection="1">
      <alignment horizontal="center" vertical="top"/>
    </xf>
    <xf numFmtId="0" fontId="0" fillId="0" borderId="24" xfId="0" applyBorder="1" applyAlignment="1" applyProtection="1">
      <alignment horizontal="center" vertical="top"/>
    </xf>
    <xf numFmtId="0" fontId="27" fillId="0" borderId="19" xfId="0" applyFont="1" applyFill="1" applyBorder="1" applyAlignment="1" applyProtection="1">
      <protection locked="0"/>
    </xf>
    <xf numFmtId="0" fontId="20" fillId="0" borderId="58" xfId="0" applyFont="1" applyFill="1" applyBorder="1" applyAlignment="1" applyProtection="1">
      <alignment horizontal="left"/>
    </xf>
    <xf numFmtId="195" fontId="20" fillId="0" borderId="59" xfId="0" applyNumberFormat="1" applyFont="1" applyFill="1" applyBorder="1" applyProtection="1"/>
    <xf numFmtId="195" fontId="20" fillId="0" borderId="60" xfId="0" applyNumberFormat="1" applyFont="1" applyFill="1" applyBorder="1" applyProtection="1"/>
    <xf numFmtId="0" fontId="27" fillId="0" borderId="42" xfId="0" applyFont="1" applyFill="1" applyBorder="1" applyAlignment="1" applyProtection="1">
      <protection locked="0"/>
    </xf>
    <xf numFmtId="0" fontId="0" fillId="0" borderId="43" xfId="0" applyFont="1" applyFill="1" applyBorder="1" applyAlignment="1" applyProtection="1"/>
    <xf numFmtId="0" fontId="0" fillId="0" borderId="51" xfId="0" applyFont="1" applyFill="1" applyBorder="1" applyAlignment="1" applyProtection="1"/>
  </cellXfs>
  <cellStyles count="8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Bold 11" xfId="49"/>
    <cellStyle name="BOM_Level_0" xfId="50"/>
    <cellStyle name="Column_Title" xfId="51"/>
    <cellStyle name="Date" xfId="52"/>
    <cellStyle name="Decimal 1" xfId="53"/>
    <cellStyle name="Decimal 2" xfId="54"/>
    <cellStyle name="Decimal 3" xfId="55"/>
    <cellStyle name="Grey" xfId="56"/>
    <cellStyle name="Input" xfId="57"/>
    <cellStyle name="Input %" xfId="58"/>
    <cellStyle name="Input [yellow]" xfId="59"/>
    <cellStyle name="Input 1" xfId="60"/>
    <cellStyle name="Input 3" xfId="61"/>
    <cellStyle name="Milliers [0]_AR1194" xfId="62"/>
    <cellStyle name="Milliers_AR1194" xfId="63"/>
    <cellStyle name="Month" xfId="64"/>
    <cellStyle name="Mon閠aire [0]_AR1194" xfId="65"/>
    <cellStyle name="Mon閠aire_AR1194" xfId="66"/>
    <cellStyle name="Normal - Style1" xfId="67"/>
    <cellStyle name="Normal 11" xfId="68"/>
    <cellStyle name="Percent ()" xfId="69"/>
    <cellStyle name="Percent [2]" xfId="70"/>
    <cellStyle name="Percent 1" xfId="71"/>
    <cellStyle name="Percent 2" xfId="72"/>
    <cellStyle name="PERCENTAGE" xfId="73"/>
    <cellStyle name="RowLevel_1" xfId="74"/>
    <cellStyle name="smaller" xfId="75"/>
    <cellStyle name="Sum" xfId="76"/>
    <cellStyle name="Sum %of HV" xfId="77"/>
    <cellStyle name="Sum_G_R&amp;R" xfId="78"/>
    <cellStyle name="time" xfId="79"/>
    <cellStyle name="Underline 2" xfId="80"/>
    <cellStyle name="Year" xfId="81"/>
    <cellStyle name="捠壿_laroux" xfId="82"/>
    <cellStyle name="常规 4" xfId="83"/>
    <cellStyle name="普通_一览表" xfId="84"/>
    <cellStyle name="昗弨_laroux" xfId="85"/>
    <cellStyle name="寘嬫愗傝 [0.00]_laroux" xfId="86"/>
    <cellStyle name="寘嬫愗傝_laroux" xfId="87"/>
    <cellStyle name="Normal_PPAP(ZP11 PAB)" xfId="88"/>
  </cellStyles>
  <tableStyles count="0" defaultTableStyle="TableStyleMedium9" defaultPivotStyle="PivotStyleLight16"/>
  <colors>
    <mruColors>
      <color rgb="000000FF"/>
      <color rgb="00FF0000"/>
      <color rgb="00000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r>
              <a:rPr lang="zh-CN" altLang="en-US" sz="12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均值</a:t>
            </a:r>
            <a:r>
              <a:rPr lang="zh-CN" altLang="en-US" sz="1200" b="1" i="0" u="none" strike="noStrike" baseline="0">
                <a:solidFill>
                  <a:srgbClr val="000000"/>
                </a:solidFill>
                <a:latin typeface="Arial" panose="020B0604020202020204" charset="-122"/>
                <a:ea typeface="Arial" panose="020B0604020202020204" charset="-122"/>
                <a:cs typeface="Arial" panose="020B0604020202020204" charset="-122"/>
              </a:rPr>
              <a:t>Average (X chart)</a:t>
            </a:r>
            <a:endParaRPr lang="zh-CN" altLang="en-US" sz="1000" b="0" i="0" u="none" strike="noStrike" baseline="0">
              <a:solidFill>
                <a:srgbClr val="000000"/>
              </a:solidFill>
              <a:latin typeface="Arial" panose="020B0604020202020204" pitchFamily="7" charset="0"/>
              <a:ea typeface="Arial" panose="020B0604020202020204" pitchFamily="7" charset="0"/>
              <a:cs typeface="Arial" panose="020B0604020202020204" pitchFamily="7" charset="0"/>
            </a:endParaRPr>
          </a:p>
        </c:rich>
      </c:tx>
      <c:layout>
        <c:manualLayout>
          <c:xMode val="edge"/>
          <c:yMode val="edge"/>
          <c:x val="0.440251902474455"/>
          <c:y val="0.012787723785166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924618837076"/>
          <c:y val="0.071611342625258"/>
          <c:w val="0.868711358766459"/>
          <c:h val="0.705883234448972"/>
        </c:manualLayout>
      </c:layout>
      <c:lineChart>
        <c:grouping val="standard"/>
        <c:varyColors val="0"/>
        <c:ser>
          <c:idx val="3"/>
          <c:order val="0"/>
          <c:tx>
            <c:strRef>
              <c:f>'Cpk 01_1'!$AF$19</c:f>
              <c:strCache>
                <c:ptCount val="1"/>
                <c:pt idx="0">
                  <c:v>Data Values</c:v>
                </c:pt>
              </c:strCache>
            </c:strRef>
          </c:tx>
          <c:spPr>
            <a:ln w="38100" cap="rnd" cmpd="sng" algn="ctr">
              <a:solidFill>
                <a:srgbClr val="0000FF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'Cpk 01_1'!$AF$64:$BD$64</c:f>
              <c:numCache>
                <c:formatCode>General</c:formatCode>
                <c:ptCount val="25"/>
                <c:pt idx="0">
                  <c:v>20.114</c:v>
                </c:pt>
                <c:pt idx="1">
                  <c:v>20.118</c:v>
                </c:pt>
                <c:pt idx="2">
                  <c:v>20.116</c:v>
                </c:pt>
                <c:pt idx="3">
                  <c:v>20.114</c:v>
                </c:pt>
                <c:pt idx="4">
                  <c:v>20.116</c:v>
                </c:pt>
                <c:pt idx="5">
                  <c:v>20.116</c:v>
                </c:pt>
                <c:pt idx="6">
                  <c:v>20.112</c:v>
                </c:pt>
                <c:pt idx="7">
                  <c:v>20.11</c:v>
                </c:pt>
                <c:pt idx="8">
                  <c:v>20.118</c:v>
                </c:pt>
                <c:pt idx="9">
                  <c:v>20.116</c:v>
                </c:pt>
                <c:pt idx="10">
                  <c:v>20.116</c:v>
                </c:pt>
                <c:pt idx="11">
                  <c:v>20.116</c:v>
                </c:pt>
                <c:pt idx="12">
                  <c:v>20.116</c:v>
                </c:pt>
                <c:pt idx="13">
                  <c:v>20.118</c:v>
                </c:pt>
                <c:pt idx="14">
                  <c:v>20.116</c:v>
                </c:pt>
                <c:pt idx="15">
                  <c:v>20.112</c:v>
                </c:pt>
                <c:pt idx="16">
                  <c:v>20.118</c:v>
                </c:pt>
                <c:pt idx="17">
                  <c:v>20.116</c:v>
                </c:pt>
                <c:pt idx="18">
                  <c:v>20.116</c:v>
                </c:pt>
                <c:pt idx="19">
                  <c:v>20.116</c:v>
                </c:pt>
                <c:pt idx="20">
                  <c:v>20.114</c:v>
                </c:pt>
                <c:pt idx="21">
                  <c:v>20.116</c:v>
                </c:pt>
                <c:pt idx="22">
                  <c:v>20.114</c:v>
                </c:pt>
                <c:pt idx="23">
                  <c:v>20.118</c:v>
                </c:pt>
                <c:pt idx="24">
                  <c:v>20.114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'Cpk 01_1'!$AI$16</c:f>
              <c:strCache>
                <c:ptCount val="1"/>
                <c:pt idx="0">
                  <c:v>UCLx</c:v>
                </c:pt>
              </c:strCache>
            </c:strRef>
          </c:tx>
          <c:spPr>
            <a:ln w="25400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0.0819960125194208"/>
                  <c:y val="0.00234700717427735"/>
                </c:manualLayout>
              </c:layout>
              <c:numFmt formatCode="#,##0.0000" sourceLinked="0"/>
              <c:spPr>
                <a:noFill/>
                <a:ln w="25400">
                  <a:noFill/>
                </a:ln>
                <a:effectLst/>
              </c:spPr>
              <c:txPr>
                <a:bodyPr rot="-540000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rgbClr val="000000">
                          <a:alpha val="100000"/>
                        </a:srgbClr>
                      </a:solidFill>
                      <a:latin typeface="Arial" panose="020B0604020202020204" pitchFamily="7" charset="0"/>
                      <a:ea typeface="Arial" panose="020B0604020202020204" pitchFamily="7" charset="0"/>
                      <a:cs typeface="Arial" panose="020B0604020202020204" pitchFamily="7" charset="0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#,##0.0000" sourceLinked="0"/>
            <c:spPr>
              <a:noFill/>
              <a:ln w="25400">
                <a:noFill/>
              </a:ln>
              <a:effectLst/>
            </c:spPr>
            <c:txPr>
              <a:bodyPr rot="-540000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</a:defRPr>
                </a:pPr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'Cpk 01_1'!$AF$20:$BD$20</c:f>
              <c:numCache>
                <c:formatCode>General</c:formatCode>
                <c:ptCount val="25"/>
                <c:pt idx="0">
                  <c:v>20.1230564</c:v>
                </c:pt>
                <c:pt idx="1">
                  <c:v>20.1230564</c:v>
                </c:pt>
                <c:pt idx="2">
                  <c:v>20.1230564</c:v>
                </c:pt>
                <c:pt idx="3">
                  <c:v>20.1230564</c:v>
                </c:pt>
                <c:pt idx="4">
                  <c:v>20.1230564</c:v>
                </c:pt>
                <c:pt idx="5">
                  <c:v>20.1230564</c:v>
                </c:pt>
                <c:pt idx="6">
                  <c:v>20.1230564</c:v>
                </c:pt>
                <c:pt idx="7">
                  <c:v>20.1230564</c:v>
                </c:pt>
                <c:pt idx="8">
                  <c:v>20.1230564</c:v>
                </c:pt>
                <c:pt idx="9">
                  <c:v>20.1230564</c:v>
                </c:pt>
                <c:pt idx="10">
                  <c:v>20.1230564</c:v>
                </c:pt>
                <c:pt idx="11">
                  <c:v>20.1230564</c:v>
                </c:pt>
                <c:pt idx="12">
                  <c:v>20.1230564</c:v>
                </c:pt>
                <c:pt idx="13">
                  <c:v>20.1230564</c:v>
                </c:pt>
                <c:pt idx="14">
                  <c:v>20.1230564</c:v>
                </c:pt>
                <c:pt idx="15">
                  <c:v>20.1230564</c:v>
                </c:pt>
                <c:pt idx="16">
                  <c:v>20.1230564</c:v>
                </c:pt>
                <c:pt idx="17">
                  <c:v>20.1230564</c:v>
                </c:pt>
                <c:pt idx="18">
                  <c:v>20.1230564</c:v>
                </c:pt>
                <c:pt idx="19">
                  <c:v>20.1230564</c:v>
                </c:pt>
                <c:pt idx="20">
                  <c:v>20.1230564</c:v>
                </c:pt>
                <c:pt idx="21">
                  <c:v>20.1230564</c:v>
                </c:pt>
                <c:pt idx="22">
                  <c:v>20.1230564</c:v>
                </c:pt>
                <c:pt idx="23">
                  <c:v>20.1230564</c:v>
                </c:pt>
                <c:pt idx="24">
                  <c:v>20.1230564</c:v>
                </c:pt>
              </c:numCache>
            </c:numRef>
          </c:val>
          <c:smooth val="0"/>
        </c:ser>
        <c:ser>
          <c:idx val="1"/>
          <c:order val="2"/>
          <c:tx>
            <c:strRef>
              <c:f>'Cpk 01_1'!$AF$16</c:f>
              <c:strCache>
                <c:ptCount val="1"/>
                <c:pt idx="0">
                  <c:v>AveX</c:v>
                </c:pt>
              </c:strCache>
            </c:strRef>
          </c:tx>
          <c:spPr>
            <a:ln w="38100" cap="rnd" cmpd="sng" algn="ctr">
              <a:solidFill>
                <a:srgbClr val="00FF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0.0662727300078107"/>
                  <c:y val="0.0074621030760815"/>
                </c:manualLayout>
              </c:layout>
              <c:numFmt formatCode="#,##0.0000" sourceLinked="0"/>
              <c:spPr>
                <a:noFill/>
                <a:ln w="25400">
                  <a:noFill/>
                </a:ln>
                <a:effectLst/>
              </c:spPr>
              <c:txPr>
                <a:bodyPr rot="-540000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rgbClr val="000000">
                          <a:alpha val="100000"/>
                        </a:srgbClr>
                      </a:solidFill>
                      <a:latin typeface="Arial" panose="020B0604020202020204" pitchFamily="7" charset="0"/>
                      <a:ea typeface="Arial" panose="020B0604020202020204" pitchFamily="7" charset="0"/>
                      <a:cs typeface="Arial" panose="020B0604020202020204" pitchFamily="7" charset="0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</a:defRPr>
                </a:pPr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'Cpk 01_1'!$AF$21:$BD$21</c:f>
              <c:numCache>
                <c:formatCode>General</c:formatCode>
                <c:ptCount val="25"/>
                <c:pt idx="0">
                  <c:v>20.11544</c:v>
                </c:pt>
                <c:pt idx="1">
                  <c:v>20.11544</c:v>
                </c:pt>
                <c:pt idx="2">
                  <c:v>20.11544</c:v>
                </c:pt>
                <c:pt idx="3">
                  <c:v>20.11544</c:v>
                </c:pt>
                <c:pt idx="4">
                  <c:v>20.11544</c:v>
                </c:pt>
                <c:pt idx="5">
                  <c:v>20.11544</c:v>
                </c:pt>
                <c:pt idx="6">
                  <c:v>20.11544</c:v>
                </c:pt>
                <c:pt idx="7">
                  <c:v>20.11544</c:v>
                </c:pt>
                <c:pt idx="8">
                  <c:v>20.11544</c:v>
                </c:pt>
                <c:pt idx="9">
                  <c:v>20.11544</c:v>
                </c:pt>
                <c:pt idx="10">
                  <c:v>20.11544</c:v>
                </c:pt>
                <c:pt idx="11">
                  <c:v>20.11544</c:v>
                </c:pt>
                <c:pt idx="12">
                  <c:v>20.11544</c:v>
                </c:pt>
                <c:pt idx="13">
                  <c:v>20.11544</c:v>
                </c:pt>
                <c:pt idx="14">
                  <c:v>20.11544</c:v>
                </c:pt>
                <c:pt idx="15">
                  <c:v>20.11544</c:v>
                </c:pt>
                <c:pt idx="16">
                  <c:v>20.11544</c:v>
                </c:pt>
                <c:pt idx="17">
                  <c:v>20.11544</c:v>
                </c:pt>
                <c:pt idx="18">
                  <c:v>20.11544</c:v>
                </c:pt>
                <c:pt idx="19">
                  <c:v>20.11544</c:v>
                </c:pt>
                <c:pt idx="20">
                  <c:v>20.11544</c:v>
                </c:pt>
                <c:pt idx="21">
                  <c:v>20.11544</c:v>
                </c:pt>
                <c:pt idx="22">
                  <c:v>20.11544</c:v>
                </c:pt>
                <c:pt idx="23">
                  <c:v>20.11544</c:v>
                </c:pt>
                <c:pt idx="24">
                  <c:v>20.11544</c:v>
                </c:pt>
              </c:numCache>
            </c:numRef>
          </c:val>
          <c:smooth val="0"/>
        </c:ser>
        <c:ser>
          <c:idx val="2"/>
          <c:order val="3"/>
          <c:tx>
            <c:strRef>
              <c:f>'Cpk 01_1'!$AI$17</c:f>
              <c:strCache>
                <c:ptCount val="1"/>
                <c:pt idx="0">
                  <c:v>LCLx</c:v>
                </c:pt>
              </c:strCache>
            </c:strRef>
          </c:tx>
          <c:spPr>
            <a:ln w="25400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0.0796375201426793"/>
                  <c:y val="0.0125771989778856"/>
                </c:manualLayout>
              </c:layout>
              <c:numFmt formatCode="#,##0.0000" sourceLinked="0"/>
              <c:spPr>
                <a:noFill/>
                <a:ln w="25400">
                  <a:noFill/>
                </a:ln>
                <a:effectLst/>
              </c:spPr>
              <c:txPr>
                <a:bodyPr rot="-540000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rgbClr val="000000">
                          <a:alpha val="100000"/>
                        </a:srgbClr>
                      </a:solidFill>
                      <a:latin typeface="Arial" panose="020B0604020202020204" pitchFamily="7" charset="0"/>
                      <a:ea typeface="Arial" panose="020B0604020202020204" pitchFamily="7" charset="0"/>
                      <a:cs typeface="Arial" panose="020B0604020202020204" pitchFamily="7" charset="0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#,##0.0000" sourceLinked="0"/>
            <c:spPr>
              <a:noFill/>
              <a:ln w="25400">
                <a:noFill/>
              </a:ln>
              <a:effectLst/>
            </c:spPr>
            <c:txPr>
              <a:bodyPr rot="-540000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</a:defRPr>
                </a:pPr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'Cpk 01_1'!$AF$22:$BD$22</c:f>
              <c:numCache>
                <c:formatCode>General</c:formatCode>
                <c:ptCount val="25"/>
                <c:pt idx="0">
                  <c:v>20.1078236</c:v>
                </c:pt>
                <c:pt idx="1">
                  <c:v>20.1078236</c:v>
                </c:pt>
                <c:pt idx="2">
                  <c:v>20.1078236</c:v>
                </c:pt>
                <c:pt idx="3">
                  <c:v>20.1078236</c:v>
                </c:pt>
                <c:pt idx="4">
                  <c:v>20.1078236</c:v>
                </c:pt>
                <c:pt idx="5">
                  <c:v>20.1078236</c:v>
                </c:pt>
                <c:pt idx="6">
                  <c:v>20.1078236</c:v>
                </c:pt>
                <c:pt idx="7">
                  <c:v>20.1078236</c:v>
                </c:pt>
                <c:pt idx="8">
                  <c:v>20.1078236</c:v>
                </c:pt>
                <c:pt idx="9">
                  <c:v>20.1078236</c:v>
                </c:pt>
                <c:pt idx="10">
                  <c:v>20.1078236</c:v>
                </c:pt>
                <c:pt idx="11">
                  <c:v>20.1078236</c:v>
                </c:pt>
                <c:pt idx="12">
                  <c:v>20.1078236</c:v>
                </c:pt>
                <c:pt idx="13">
                  <c:v>20.1078236</c:v>
                </c:pt>
                <c:pt idx="14">
                  <c:v>20.1078236</c:v>
                </c:pt>
                <c:pt idx="15">
                  <c:v>20.1078236</c:v>
                </c:pt>
                <c:pt idx="16">
                  <c:v>20.1078236</c:v>
                </c:pt>
                <c:pt idx="17">
                  <c:v>20.1078236</c:v>
                </c:pt>
                <c:pt idx="18">
                  <c:v>20.1078236</c:v>
                </c:pt>
                <c:pt idx="19">
                  <c:v>20.1078236</c:v>
                </c:pt>
                <c:pt idx="20">
                  <c:v>20.1078236</c:v>
                </c:pt>
                <c:pt idx="21">
                  <c:v>20.1078236</c:v>
                </c:pt>
                <c:pt idx="22">
                  <c:v>20.1078236</c:v>
                </c:pt>
                <c:pt idx="23">
                  <c:v>20.1078236</c:v>
                </c:pt>
                <c:pt idx="24">
                  <c:v>20.1078236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88668226"/>
        <c:axId val="415792383"/>
      </c:lineChart>
      <c:catAx>
        <c:axId val="98866822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lang="zh-CN" altLang="en-US"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数据点</a:t>
                </a:r>
                <a:r>
                  <a:rPr lang="zh-CN" altLang="en-US" sz="1000" b="1" i="0" u="none" strike="noStrike" baseline="0">
                    <a:solidFill>
                      <a:srgbClr val="000000"/>
                    </a:solidFill>
                    <a:latin typeface="Arial" panose="020B0604020202020204" charset="-122"/>
                    <a:ea typeface="Arial" panose="020B0604020202020204" charset="-122"/>
                    <a:cs typeface="Arial" panose="020B0604020202020204" charset="-122"/>
                  </a:rPr>
                  <a:t>Data Points</a:t>
                </a:r>
                <a:endParaRPr lang="zh-CN" altLang="en-US" sz="10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ea typeface="Arial" panose="020B0604020202020204" pitchFamily="7" charset="0"/>
                  <a:cs typeface="Arial" panose="020B0604020202020204" pitchFamily="7" charset="0"/>
                </a:endParaRPr>
              </a:p>
            </c:rich>
          </c:tx>
          <c:layout>
            <c:manualLayout>
              <c:xMode val="edge"/>
              <c:yMode val="edge"/>
              <c:x val="0.505503557338352"/>
              <c:y val="0.846548388612549"/>
            </c:manualLayout>
          </c:layout>
          <c:overlay val="0"/>
        </c:title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</a:defRPr>
            </a:pPr>
          </a:p>
        </c:txPr>
        <c:crossAx val="415792383"/>
        <c:crosses val="autoZero"/>
        <c:auto val="0"/>
        <c:lblAlgn val="ctr"/>
        <c:lblOffset val="100"/>
        <c:tickLblSkip val="1"/>
        <c:noMultiLvlLbl val="0"/>
      </c:catAx>
      <c:valAx>
        <c:axId val="415792383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000000"/>
              </a:solidFill>
              <a:prstDash val="sysDash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lang="zh-CN" altLang="en-US" sz="12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平均值</a:t>
                </a:r>
                <a:r>
                  <a:rPr lang="zh-CN" altLang="en-US" sz="1200" b="1" i="0" u="none" strike="noStrike" baseline="0">
                    <a:solidFill>
                      <a:srgbClr val="000000"/>
                    </a:solidFill>
                    <a:latin typeface="Arial" panose="020B0604020202020204" charset="-122"/>
                    <a:ea typeface="Arial" panose="020B0604020202020204" charset="-122"/>
                    <a:cs typeface="Arial" panose="020B0604020202020204" charset="-122"/>
                  </a:rPr>
                  <a:t>Average</a:t>
                </a:r>
                <a:endParaRPr lang="zh-CN" altLang="en-US" sz="10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ea typeface="Arial" panose="020B0604020202020204" pitchFamily="7" charset="0"/>
                  <a:cs typeface="Arial" panose="020B0604020202020204" pitchFamily="7" charset="0"/>
                </a:endParaRPr>
              </a:p>
            </c:rich>
          </c:tx>
          <c:layout>
            <c:manualLayout>
              <c:xMode val="edge"/>
              <c:yMode val="edge"/>
              <c:x val="0.00393081761006289"/>
              <c:y val="0.245524565183828"/>
            </c:manualLayout>
          </c:layout>
          <c:overlay val="0"/>
        </c:title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</a:defRPr>
            </a:pPr>
          </a:p>
        </c:txPr>
        <c:crossAx val="98866822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3249971112102"/>
          <c:y val="0.943499875814756"/>
          <c:w val="0.21825"/>
          <c:h val="0.052"/>
        </c:manualLayout>
      </c:layout>
      <c:overlay val="0"/>
      <c:spPr>
        <a:solidFill>
          <a:srgbClr val="FFFFFF">
            <a:alpha val="100000"/>
          </a:srgbClr>
        </a:solidFill>
        <a:ln w="3175">
          <a:solidFill>
            <a:srgbClr val="000000">
              <a:alpha val="100000"/>
            </a:srgbClr>
          </a:solidFill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675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solidFill>
        <a:srgbClr val="000000"/>
      </a:solidFill>
      <a:prstDash val="solid"/>
      <a:round/>
    </a:ln>
  </c:spPr>
  <c:txPr>
    <a:bodyPr rot="0" wrap="square" anchor="ctr" anchorCtr="1"/>
    <a:lstStyle/>
    <a:p>
      <a:pPr>
        <a:defRPr lang="zh-CN" sz="800" b="0" i="0" u="none" strike="noStrike" baseline="0">
          <a:solidFill>
            <a:srgbClr val="000000">
              <a:alpha val="100000"/>
            </a:srgbClr>
          </a:solidFill>
          <a:latin typeface="Arial" panose="020B0604020202020204" pitchFamily="7" charset="0"/>
          <a:ea typeface="Arial" panose="020B0604020202020204" pitchFamily="7" charset="0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r>
              <a:rPr lang="zh-CN" altLang="en-US" sz="12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极差图</a:t>
            </a:r>
            <a:r>
              <a:rPr lang="zh-CN" altLang="en-US" sz="1200" b="1" i="0" u="none" strike="noStrike" baseline="0">
                <a:solidFill>
                  <a:srgbClr val="000000"/>
                </a:solidFill>
                <a:latin typeface="Arial" panose="020B0604020202020204" charset="-122"/>
                <a:ea typeface="Arial" panose="020B0604020202020204" charset="-122"/>
                <a:cs typeface="Arial" panose="020B0604020202020204" charset="-122"/>
              </a:rPr>
              <a:t>Range (R chart)</a:t>
            </a:r>
            <a:endParaRPr lang="zh-CN" altLang="en-US" sz="1000" b="0" i="0" u="none" strike="noStrike" baseline="0">
              <a:solidFill>
                <a:srgbClr val="000000"/>
              </a:solidFill>
              <a:latin typeface="Arial" panose="020B0604020202020204" pitchFamily="7" charset="0"/>
              <a:ea typeface="Arial" panose="020B0604020202020204" pitchFamily="7" charset="0"/>
              <a:cs typeface="Arial" panose="020B0604020202020204" pitchFamily="7" charset="0"/>
            </a:endParaRPr>
          </a:p>
        </c:rich>
      </c:tx>
      <c:layout>
        <c:manualLayout>
          <c:xMode val="edge"/>
          <c:yMode val="edge"/>
          <c:x val="0.450472028260618"/>
          <c:y val="0.062314681079066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50000959673"/>
          <c:y val="0.0652819936972507"/>
          <c:w val="0.865566702264137"/>
          <c:h val="0.715134567319883"/>
        </c:manualLayout>
      </c:layout>
      <c:lineChart>
        <c:grouping val="standard"/>
        <c:varyColors val="0"/>
        <c:ser>
          <c:idx val="3"/>
          <c:order val="0"/>
          <c:tx>
            <c:strRef>
              <c:f>'Cpk 01_1'!$AF$19</c:f>
              <c:strCache>
                <c:ptCount val="1"/>
                <c:pt idx="0">
                  <c:v>Data Values</c:v>
                </c:pt>
              </c:strCache>
            </c:strRef>
          </c:tx>
          <c:spPr>
            <a:ln w="38100" cap="rnd" cmpd="sng" algn="ctr">
              <a:solidFill>
                <a:srgbClr val="0000FF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'Cpk 01_1'!$B$94:$Z$94</c:f>
              <c:numCache>
                <c:formatCode>#,##0.0###</c:formatCode>
                <c:ptCount val="25"/>
                <c:pt idx="0">
                  <c:v>0.0100000000000016</c:v>
                </c:pt>
                <c:pt idx="1">
                  <c:v>0.0100000000000016</c:v>
                </c:pt>
                <c:pt idx="2">
                  <c:v>0.0100000000000016</c:v>
                </c:pt>
                <c:pt idx="3">
                  <c:v>0.0100000000000016</c:v>
                </c:pt>
                <c:pt idx="4">
                  <c:v>0.0100000000000016</c:v>
                </c:pt>
                <c:pt idx="5">
                  <c:v>0.0100000000000016</c:v>
                </c:pt>
                <c:pt idx="6">
                  <c:v>0.0100000000000016</c:v>
                </c:pt>
                <c:pt idx="7">
                  <c:v>0.0199999999999996</c:v>
                </c:pt>
                <c:pt idx="8">
                  <c:v>0.0199999999999996</c:v>
                </c:pt>
                <c:pt idx="9">
                  <c:v>0.0100000000000016</c:v>
                </c:pt>
                <c:pt idx="10">
                  <c:v>0.0100000000000016</c:v>
                </c:pt>
                <c:pt idx="11">
                  <c:v>0.0199999999999996</c:v>
                </c:pt>
                <c:pt idx="12">
                  <c:v>0.0100000000000016</c:v>
                </c:pt>
                <c:pt idx="13">
                  <c:v>0.0199999999999996</c:v>
                </c:pt>
                <c:pt idx="14">
                  <c:v>0.0100000000000016</c:v>
                </c:pt>
                <c:pt idx="15">
                  <c:v>0.0199999999999996</c:v>
                </c:pt>
                <c:pt idx="16">
                  <c:v>0.0100000000000016</c:v>
                </c:pt>
                <c:pt idx="17">
                  <c:v>0.0199999999999996</c:v>
                </c:pt>
                <c:pt idx="18">
                  <c:v>0.0100000000000016</c:v>
                </c:pt>
                <c:pt idx="19">
                  <c:v>0.0199999999999996</c:v>
                </c:pt>
                <c:pt idx="20" c:formatCode="General">
                  <c:v>0.0199999999999996</c:v>
                </c:pt>
                <c:pt idx="21" c:formatCode="General">
                  <c:v>0.0100000000000016</c:v>
                </c:pt>
                <c:pt idx="22" c:formatCode="General">
                  <c:v>0.0100000000000016</c:v>
                </c:pt>
                <c:pt idx="23" c:formatCode="General">
                  <c:v>0.0100000000000016</c:v>
                </c:pt>
                <c:pt idx="24" c:formatCode="General">
                  <c:v>0.0100000000000016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'Cpk 01_1'!$AI$18</c:f>
              <c:strCache>
                <c:ptCount val="1"/>
                <c:pt idx="0">
                  <c:v>UCLr</c:v>
                </c:pt>
              </c:strCache>
            </c:strRef>
          </c:tx>
          <c:spPr>
            <a:ln w="25400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0.0726651769161184"/>
                  <c:y val="0.0294861184121327"/>
                </c:manualLayout>
              </c:layout>
              <c:numFmt formatCode="#,##0.0000" sourceLinked="0"/>
              <c:spPr>
                <a:noFill/>
                <a:ln w="25400">
                  <a:noFill/>
                </a:ln>
                <a:effectLst/>
              </c:spPr>
              <c:txPr>
                <a:bodyPr rot="-540000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rgbClr val="000000">
                          <a:alpha val="100000"/>
                        </a:srgbClr>
                      </a:solidFill>
                      <a:latin typeface="Arial" panose="020B0604020202020204" pitchFamily="7" charset="0"/>
                      <a:ea typeface="Arial" panose="020B0604020202020204" pitchFamily="7" charset="0"/>
                      <a:cs typeface="Arial" panose="020B0604020202020204" pitchFamily="7" charset="0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#,##0.0000" sourceLinked="0"/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</a:defRPr>
                </a:pPr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'Cpk 01_1'!$AF$23:$BD$23</c:f>
              <c:numCache>
                <c:formatCode>General</c:formatCode>
                <c:ptCount val="25"/>
                <c:pt idx="0">
                  <c:v>0.027904800000002</c:v>
                </c:pt>
                <c:pt idx="1">
                  <c:v>0.027904800000002</c:v>
                </c:pt>
                <c:pt idx="2">
                  <c:v>0.027904800000002</c:v>
                </c:pt>
                <c:pt idx="3">
                  <c:v>0.027904800000002</c:v>
                </c:pt>
                <c:pt idx="4">
                  <c:v>0.027904800000002</c:v>
                </c:pt>
                <c:pt idx="5">
                  <c:v>0.027904800000002</c:v>
                </c:pt>
                <c:pt idx="6">
                  <c:v>0.027904800000002</c:v>
                </c:pt>
                <c:pt idx="7">
                  <c:v>0.027904800000002</c:v>
                </c:pt>
                <c:pt idx="8">
                  <c:v>0.027904800000002</c:v>
                </c:pt>
                <c:pt idx="9">
                  <c:v>0.027904800000002</c:v>
                </c:pt>
                <c:pt idx="10">
                  <c:v>0.027904800000002</c:v>
                </c:pt>
                <c:pt idx="11">
                  <c:v>0.027904800000002</c:v>
                </c:pt>
                <c:pt idx="12">
                  <c:v>0.027904800000002</c:v>
                </c:pt>
                <c:pt idx="13">
                  <c:v>0.027904800000002</c:v>
                </c:pt>
                <c:pt idx="14">
                  <c:v>0.027904800000002</c:v>
                </c:pt>
                <c:pt idx="15">
                  <c:v>0.027904800000002</c:v>
                </c:pt>
                <c:pt idx="16">
                  <c:v>0.027904800000002</c:v>
                </c:pt>
                <c:pt idx="17">
                  <c:v>0.027904800000002</c:v>
                </c:pt>
                <c:pt idx="18">
                  <c:v>0.027904800000002</c:v>
                </c:pt>
                <c:pt idx="19">
                  <c:v>0.027904800000002</c:v>
                </c:pt>
                <c:pt idx="20">
                  <c:v>0.027904800000002</c:v>
                </c:pt>
                <c:pt idx="21">
                  <c:v>0.027904800000002</c:v>
                </c:pt>
                <c:pt idx="22">
                  <c:v>0.027904800000002</c:v>
                </c:pt>
                <c:pt idx="23">
                  <c:v>0.027904800000002</c:v>
                </c:pt>
                <c:pt idx="24">
                  <c:v>0.027904800000002</c:v>
                </c:pt>
              </c:numCache>
            </c:numRef>
          </c:val>
          <c:smooth val="0"/>
        </c:ser>
        <c:ser>
          <c:idx val="1"/>
          <c:order val="2"/>
          <c:tx>
            <c:strRef>
              <c:f>'Cpk 01_1'!$AF$18</c:f>
              <c:strCache>
                <c:ptCount val="1"/>
                <c:pt idx="0">
                  <c:v>AveR</c:v>
                </c:pt>
              </c:strCache>
            </c:strRef>
          </c:tx>
          <c:spPr>
            <a:ln w="25400" cap="rnd" cmpd="sng" algn="ctr">
              <a:solidFill>
                <a:srgbClr val="00FF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0.0577280585300888"/>
                  <c:y val="-0.00315487843649272"/>
                </c:manualLayout>
              </c:layout>
              <c:numFmt formatCode="#,##0.0000" sourceLinked="0"/>
              <c:spPr>
                <a:noFill/>
                <a:ln w="25400">
                  <a:noFill/>
                </a:ln>
                <a:effectLst/>
              </c:spPr>
              <c:txPr>
                <a:bodyPr rot="-540000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rgbClr val="000000">
                          <a:alpha val="100000"/>
                        </a:srgbClr>
                      </a:solidFill>
                      <a:latin typeface="Arial" panose="020B0604020202020204" pitchFamily="7" charset="0"/>
                      <a:ea typeface="Arial" panose="020B0604020202020204" pitchFamily="7" charset="0"/>
                      <a:cs typeface="Arial" panose="020B0604020202020204" pitchFamily="7" charset="0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</a:defRPr>
                </a:pPr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'Cpk 01_1'!$AF$24:$BD$24</c:f>
              <c:numCache>
                <c:formatCode>General</c:formatCode>
                <c:ptCount val="25"/>
                <c:pt idx="0">
                  <c:v>0.0132000000000009</c:v>
                </c:pt>
                <c:pt idx="1">
                  <c:v>0.0132000000000009</c:v>
                </c:pt>
                <c:pt idx="2">
                  <c:v>0.0132000000000009</c:v>
                </c:pt>
                <c:pt idx="3">
                  <c:v>0.0132000000000009</c:v>
                </c:pt>
                <c:pt idx="4">
                  <c:v>0.0132000000000009</c:v>
                </c:pt>
                <c:pt idx="5">
                  <c:v>0.0132000000000009</c:v>
                </c:pt>
                <c:pt idx="6">
                  <c:v>0.0132000000000009</c:v>
                </c:pt>
                <c:pt idx="7">
                  <c:v>0.0132000000000009</c:v>
                </c:pt>
                <c:pt idx="8">
                  <c:v>0.0132000000000009</c:v>
                </c:pt>
                <c:pt idx="9">
                  <c:v>0.0132000000000009</c:v>
                </c:pt>
                <c:pt idx="10">
                  <c:v>0.0132000000000009</c:v>
                </c:pt>
                <c:pt idx="11">
                  <c:v>0.0132000000000009</c:v>
                </c:pt>
                <c:pt idx="12">
                  <c:v>0.0132000000000009</c:v>
                </c:pt>
                <c:pt idx="13">
                  <c:v>0.0132000000000009</c:v>
                </c:pt>
                <c:pt idx="14">
                  <c:v>0.0132000000000009</c:v>
                </c:pt>
                <c:pt idx="15">
                  <c:v>0.0132000000000009</c:v>
                </c:pt>
                <c:pt idx="16">
                  <c:v>0.0132000000000009</c:v>
                </c:pt>
                <c:pt idx="17">
                  <c:v>0.0132000000000009</c:v>
                </c:pt>
                <c:pt idx="18">
                  <c:v>0.0132000000000009</c:v>
                </c:pt>
                <c:pt idx="19">
                  <c:v>0.0132000000000009</c:v>
                </c:pt>
                <c:pt idx="20">
                  <c:v>0.0132000000000009</c:v>
                </c:pt>
                <c:pt idx="21">
                  <c:v>0.0132000000000009</c:v>
                </c:pt>
                <c:pt idx="22">
                  <c:v>0.0132000000000009</c:v>
                </c:pt>
                <c:pt idx="23">
                  <c:v>0.0132000000000009</c:v>
                </c:pt>
                <c:pt idx="24">
                  <c:v>0.0132000000000009</c:v>
                </c:pt>
              </c:numCache>
            </c:numRef>
          </c:val>
          <c:smooth val="0"/>
        </c:ser>
        <c:ser>
          <c:idx val="2"/>
          <c:order val="3"/>
          <c:tx>
            <c:strRef>
              <c:f>'Cpk 01_1'!$AI$19</c:f>
              <c:strCache>
                <c:ptCount val="1"/>
                <c:pt idx="0">
                  <c:v>LCLr</c:v>
                </c:pt>
              </c:strCache>
            </c:strRef>
          </c:tx>
          <c:spPr>
            <a:ln w="38100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'Cpk 01_1'!$AF$25:$BD$25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82778694"/>
        <c:axId val="223960681"/>
      </c:lineChart>
      <c:catAx>
        <c:axId val="88277869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lang="zh-CN" altLang="en-US"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数据点</a:t>
                </a:r>
                <a:r>
                  <a:rPr lang="zh-CN" altLang="en-US" sz="1000" b="1" i="0" u="none" strike="noStrike" baseline="0">
                    <a:solidFill>
                      <a:srgbClr val="000000"/>
                    </a:solidFill>
                    <a:latin typeface="Arial" panose="020B0604020202020204" charset="-122"/>
                    <a:ea typeface="Arial" panose="020B0604020202020204" charset="-122"/>
                    <a:cs typeface="Arial" panose="020B0604020202020204" charset="-122"/>
                  </a:rPr>
                  <a:t>Data Points</a:t>
                </a:r>
                <a:endParaRPr lang="zh-CN" altLang="en-US" sz="10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ea typeface="Arial" panose="020B0604020202020204" pitchFamily="7" charset="0"/>
                  <a:cs typeface="Arial" panose="020B0604020202020204" pitchFamily="7" charset="0"/>
                </a:endParaRPr>
              </a:p>
            </c:rich>
          </c:tx>
          <c:layout>
            <c:manualLayout>
              <c:xMode val="edge"/>
              <c:yMode val="edge"/>
              <c:x val="0.51100670199244"/>
              <c:y val="0.860535495193278"/>
            </c:manualLayout>
          </c:layout>
          <c:overlay val="0"/>
        </c:title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</a:defRPr>
            </a:pPr>
          </a:p>
        </c:txPr>
        <c:crossAx val="223960681"/>
        <c:crosses val="autoZero"/>
        <c:auto val="0"/>
        <c:lblAlgn val="ctr"/>
        <c:lblOffset val="100"/>
        <c:tickLblSkip val="1"/>
        <c:noMultiLvlLbl val="0"/>
      </c:catAx>
      <c:valAx>
        <c:axId val="223960681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000000"/>
              </a:solidFill>
              <a:prstDash val="sysDash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lang="zh-CN" altLang="en-US" sz="12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极差</a:t>
                </a:r>
                <a:r>
                  <a:rPr lang="zh-CN" altLang="en-US" sz="1200" b="1" i="0" u="none" strike="noStrike" baseline="0">
                    <a:solidFill>
                      <a:srgbClr val="000000"/>
                    </a:solidFill>
                    <a:latin typeface="Arial" panose="020B0604020202020204" charset="-122"/>
                    <a:ea typeface="Arial" panose="020B0604020202020204" charset="-122"/>
                    <a:cs typeface="Arial" panose="020B0604020202020204" charset="-122"/>
                  </a:rPr>
                  <a:t>Range</a:t>
                </a:r>
                <a:endParaRPr lang="zh-CN" altLang="en-US" sz="1000" b="0" i="0" u="none" strike="noStrike" baseline="0">
                  <a:solidFill>
                    <a:srgbClr val="000000"/>
                  </a:solidFill>
                  <a:latin typeface="Arial" panose="020B0604020202020204" pitchFamily="7" charset="0"/>
                  <a:ea typeface="Arial" panose="020B0604020202020204" pitchFamily="7" charset="0"/>
                  <a:cs typeface="Arial" panose="020B0604020202020204" pitchFamily="7" charset="0"/>
                </a:endParaRPr>
              </a:p>
            </c:rich>
          </c:tx>
          <c:layout>
            <c:manualLayout>
              <c:xMode val="edge"/>
              <c:yMode val="edge"/>
              <c:x val="0.00393081761006289"/>
              <c:y val="0.26409542002516"/>
            </c:manualLayout>
          </c:layout>
          <c:overlay val="0"/>
        </c:title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</a:defRPr>
            </a:pPr>
          </a:p>
        </c:txPr>
        <c:crossAx val="88277869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0260000165073705"/>
          <c:y val="0.936249980586746"/>
          <c:w val="0.21475"/>
          <c:h val="0.05775"/>
        </c:manualLayout>
      </c:layout>
      <c:overlay val="0"/>
      <c:spPr>
        <a:solidFill>
          <a:srgbClr val="FFFFFF">
            <a:alpha val="100000"/>
          </a:srgbClr>
        </a:solidFill>
        <a:ln w="3175">
          <a:solidFill>
            <a:srgbClr val="000000">
              <a:alpha val="100000"/>
            </a:srgbClr>
          </a:solidFill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675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solidFill>
        <a:srgbClr val="000000"/>
      </a:solidFill>
      <a:prstDash val="solid"/>
      <a:round/>
    </a:ln>
  </c:spPr>
  <c:txPr>
    <a:bodyPr rot="0" wrap="square" anchor="ctr" anchorCtr="1"/>
    <a:lstStyle/>
    <a:p>
      <a:pPr>
        <a:defRPr lang="zh-CN" sz="800" b="0" i="0" u="none" strike="noStrike" baseline="0">
          <a:solidFill>
            <a:srgbClr val="000000">
              <a:alpha val="100000"/>
            </a:srgbClr>
          </a:solidFill>
          <a:latin typeface="Arial" panose="020B0604020202020204" pitchFamily="7" charset="0"/>
          <a:ea typeface="Arial" panose="020B0604020202020204" pitchFamily="7" charset="0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260960334029"/>
          <c:y val="0.0879480226168418"/>
          <c:w val="0.839248434237996"/>
          <c:h val="0.7654735301836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"Data Points"</c:f>
              <c:strCache>
                <c:ptCount val="1"/>
                <c:pt idx="0">
                  <c:v>Data Points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numFmt formatCode="General" sourceLinked="1"/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trendline>
            <c:spPr>
              <a:ln w="25400" cap="rnd" cmpd="sng" algn="ctr">
                <a:solidFill>
                  <a:srgbClr val="000000"/>
                </a:solidFill>
                <a:prstDash val="solid"/>
                <a:round/>
              </a:ln>
            </c:spPr>
            <c:name>Distribution Shape</c:name>
            <c:trendlineType val="poly"/>
            <c:order val="4"/>
            <c:forward val="0"/>
            <c:backward val="0"/>
            <c:dispRSqr val="0"/>
            <c:dispEq val="0"/>
          </c:trendline>
          <c:cat>
            <c:numRef>
              <c:f>'Cpk 01_1'!$AH$4:$AH$14</c:f>
              <c:numCache>
                <c:formatCode>General</c:formatCode>
                <c:ptCount val="11"/>
                <c:pt idx="0">
                  <c:v>20.0985</c:v>
                </c:pt>
                <c:pt idx="1">
                  <c:v>20.1015</c:v>
                </c:pt>
                <c:pt idx="2">
                  <c:v>20.1045</c:v>
                </c:pt>
                <c:pt idx="3">
                  <c:v>20.1075</c:v>
                </c:pt>
                <c:pt idx="4">
                  <c:v>20.1105</c:v>
                </c:pt>
                <c:pt idx="5">
                  <c:v>20.1135</c:v>
                </c:pt>
                <c:pt idx="6">
                  <c:v>20.1165</c:v>
                </c:pt>
                <c:pt idx="7">
                  <c:v>20.1195</c:v>
                </c:pt>
                <c:pt idx="8">
                  <c:v>20.1225</c:v>
                </c:pt>
                <c:pt idx="9">
                  <c:v>20.1255</c:v>
                </c:pt>
                <c:pt idx="10">
                  <c:v>20.1285</c:v>
                </c:pt>
              </c:numCache>
            </c:numRef>
          </c:cat>
          <c:val>
            <c:numRef>
              <c:f>'Cpk 01_1'!$AM$4:$AM$14</c:f>
              <c:numCache>
                <c:formatCode>General</c:formatCode>
                <c:ptCount val="11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50</c:v>
                </c:pt>
                <c:pt idx="5">
                  <c:v>0</c:v>
                </c:pt>
                <c:pt idx="6">
                  <c:v>0</c:v>
                </c:pt>
                <c:pt idx="7">
                  <c:v>67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23893227"/>
        <c:axId val="733630292"/>
      </c:barChart>
      <c:catAx>
        <c:axId val="23893227"/>
        <c:scaling>
          <c:orientation val="minMax"/>
        </c:scaling>
        <c:delete val="0"/>
        <c:axPos val="b"/>
        <c:numFmt formatCode="0.000" sourceLinked="0"/>
        <c:majorTickMark val="cross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-54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</a:defRPr>
            </a:pPr>
          </a:p>
        </c:txPr>
        <c:crossAx val="733630292"/>
        <c:crosses val="autoZero"/>
        <c:auto val="0"/>
        <c:lblAlgn val="ctr"/>
        <c:lblOffset val="100"/>
        <c:tickLblSkip val="1"/>
        <c:noMultiLvlLbl val="0"/>
      </c:catAx>
      <c:valAx>
        <c:axId val="733630292"/>
        <c:scaling>
          <c:orientation val="minMax"/>
          <c:min val="0"/>
        </c:scaling>
        <c:delete val="0"/>
        <c:axPos val="l"/>
        <c:majorTickMark val="out"/>
        <c:minorTickMark val="none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</a:defRPr>
            </a:pPr>
          </a:p>
        </c:txPr>
        <c:crossAx val="23893227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</c:spPr>
  <c:txPr>
    <a:bodyPr rot="0" wrap="square" anchor="ctr" anchorCtr="1"/>
    <a:lstStyle/>
    <a:p>
      <a:pPr>
        <a:defRPr lang="zh-CN" sz="800" b="0" i="0" u="none" strike="noStrike" baseline="0">
          <a:solidFill>
            <a:srgbClr val="000000">
              <a:alpha val="100000"/>
            </a:srgbClr>
          </a:solidFill>
          <a:latin typeface="Arial" panose="020B0604020202020204" pitchFamily="7" charset="0"/>
          <a:ea typeface="Arial" panose="020B0604020202020204" pitchFamily="7" charset="0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888366587373"/>
          <c:y val="0.104234693471812"/>
          <c:w val="0.83683174176806"/>
          <c:h val="0.7361575226446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"IN SPEC VALUES"</c:f>
              <c:strCache>
                <c:ptCount val="1"/>
                <c:pt idx="0">
                  <c:v>IN SPEC VALUES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numFmt formatCode="General" sourceLinked="1"/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'Cpk 01_1'!$AQ$5:$AQ$13</c:f>
              <c:numCache>
                <c:formatCode>General</c:formatCode>
                <c:ptCount val="9"/>
                <c:pt idx="0">
                  <c:v>20.02</c:v>
                </c:pt>
                <c:pt idx="1">
                  <c:v>20.04</c:v>
                </c:pt>
                <c:pt idx="2">
                  <c:v>20.06</c:v>
                </c:pt>
                <c:pt idx="3">
                  <c:v>20.08</c:v>
                </c:pt>
                <c:pt idx="4">
                  <c:v>20.1</c:v>
                </c:pt>
                <c:pt idx="5">
                  <c:v>20.12</c:v>
                </c:pt>
                <c:pt idx="6">
                  <c:v>20.14</c:v>
                </c:pt>
                <c:pt idx="7">
                  <c:v>20.16</c:v>
                </c:pt>
                <c:pt idx="8">
                  <c:v>20.18</c:v>
                </c:pt>
              </c:numCache>
            </c:numRef>
          </c:cat>
          <c:val>
            <c:numRef>
              <c:f>'Cpk 01_1'!$AV$5:$AV$13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55</c:v>
                </c:pt>
                <c:pt idx="5">
                  <c:v>70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603887776"/>
        <c:axId val="350296058"/>
      </c:barChart>
      <c:catAx>
        <c:axId val="603887776"/>
        <c:scaling>
          <c:orientation val="minMax"/>
        </c:scaling>
        <c:delete val="0"/>
        <c:axPos val="b"/>
        <c:numFmt formatCode="0.000" sourceLinked="0"/>
        <c:majorTickMark val="cross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-54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</a:defRPr>
            </a:pPr>
          </a:p>
        </c:txPr>
        <c:crossAx val="350296058"/>
        <c:crosses val="autoZero"/>
        <c:auto val="0"/>
        <c:lblAlgn val="ctr"/>
        <c:lblOffset val="100"/>
        <c:tickLblSkip val="1"/>
        <c:noMultiLvlLbl val="0"/>
      </c:catAx>
      <c:valAx>
        <c:axId val="350296058"/>
        <c:scaling>
          <c:orientation val="minMax"/>
          <c:min val="0"/>
        </c:scaling>
        <c:delete val="0"/>
        <c:axPos val="l"/>
        <c:majorTickMark val="out"/>
        <c:minorTickMark val="none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</a:defRPr>
            </a:pPr>
          </a:p>
        </c:txPr>
        <c:crossAx val="60388777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3175" cap="flat" cmpd="sng" algn="ctr">
      <a:solidFill>
        <a:srgbClr val="000000"/>
      </a:solidFill>
      <a:prstDash val="solid"/>
      <a:round/>
    </a:ln>
  </c:spPr>
  <c:txPr>
    <a:bodyPr rot="0" wrap="square" anchor="ctr" anchorCtr="1"/>
    <a:lstStyle/>
    <a:p>
      <a:pPr>
        <a:defRPr lang="zh-CN" sz="800" b="0" i="0" u="none" strike="noStrike" baseline="0">
          <a:solidFill>
            <a:srgbClr val="000000">
              <a:alpha val="100000"/>
            </a:srgbClr>
          </a:solidFill>
          <a:latin typeface="Arial" panose="020B0604020202020204" pitchFamily="7" charset="0"/>
          <a:ea typeface="Arial" panose="020B0604020202020204" pitchFamily="7" charset="0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Radio" checked="Checked" firstButton="1" fmlaLink="AA3" noThreeD="1" val="0"/>
</file>

<file path=xl/ctrlProps/ctrlProp2.xml><?xml version="1.0" encoding="utf-8"?>
<formControlPr xmlns="http://schemas.microsoft.com/office/spreadsheetml/2009/9/main" objectType="Radio" noThreeD="1" val="0"/>
</file>

<file path=xl/ctrlProps/ctrlProp3.xml><?xml version="1.0" encoding="utf-8"?>
<formControlPr xmlns="http://schemas.microsoft.com/office/spreadsheetml/2009/9/main" objectType="Radio" noThreeD="1" val="0"/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11</xdr:row>
      <xdr:rowOff>19050</xdr:rowOff>
    </xdr:from>
    <xdr:to>
      <xdr:col>20</xdr:col>
      <xdr:colOff>552450</xdr:colOff>
      <xdr:row>34</xdr:row>
      <xdr:rowOff>19050</xdr:rowOff>
    </xdr:to>
    <xdr:graphicFrame>
      <xdr:nvGraphicFramePr>
        <xdr:cNvPr id="1423606" name="Chart 1"/>
        <xdr:cNvGraphicFramePr/>
      </xdr:nvGraphicFramePr>
      <xdr:xfrm>
        <a:off x="0" y="5655945"/>
        <a:ext cx="12115800" cy="3724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34</xdr:row>
      <xdr:rowOff>19050</xdr:rowOff>
    </xdr:from>
    <xdr:to>
      <xdr:col>20</xdr:col>
      <xdr:colOff>552450</xdr:colOff>
      <xdr:row>53</xdr:row>
      <xdr:rowOff>161925</xdr:rowOff>
    </xdr:to>
    <xdr:graphicFrame>
      <xdr:nvGraphicFramePr>
        <xdr:cNvPr id="1423607" name="Chart 2"/>
        <xdr:cNvGraphicFramePr/>
      </xdr:nvGraphicFramePr>
      <xdr:xfrm>
        <a:off x="0" y="9380220"/>
        <a:ext cx="12115800" cy="3219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114300</xdr:colOff>
      <xdr:row>3</xdr:row>
      <xdr:rowOff>28575</xdr:rowOff>
    </xdr:from>
    <xdr:to>
      <xdr:col>19</xdr:col>
      <xdr:colOff>180975</xdr:colOff>
      <xdr:row>3</xdr:row>
      <xdr:rowOff>28575</xdr:rowOff>
    </xdr:to>
    <xdr:sp>
      <xdr:nvSpPr>
        <xdr:cNvPr id="1423608" name="Line 3"/>
        <xdr:cNvSpPr/>
      </xdr:nvSpPr>
      <xdr:spPr>
        <a:xfrm>
          <a:off x="11096625" y="4352925"/>
          <a:ext cx="66675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10</xdr:col>
      <xdr:colOff>180975</xdr:colOff>
      <xdr:row>11</xdr:row>
      <xdr:rowOff>95250</xdr:rowOff>
    </xdr:from>
    <xdr:to>
      <xdr:col>10</xdr:col>
      <xdr:colOff>266700</xdr:colOff>
      <xdr:row>11</xdr:row>
      <xdr:rowOff>95250</xdr:rowOff>
    </xdr:to>
    <xdr:sp>
      <xdr:nvSpPr>
        <xdr:cNvPr id="1423609" name="Line 4"/>
        <xdr:cNvSpPr/>
      </xdr:nvSpPr>
      <xdr:spPr>
        <a:xfrm>
          <a:off x="5934075" y="5732145"/>
          <a:ext cx="85725" cy="0"/>
        </a:xfrm>
        <a:prstGeom prst="line">
          <a:avLst/>
        </a:prstGeom>
        <a:ln w="1714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409575</xdr:colOff>
      <xdr:row>66</xdr:row>
      <xdr:rowOff>9525</xdr:rowOff>
    </xdr:from>
    <xdr:to>
      <xdr:col>16</xdr:col>
      <xdr:colOff>495300</xdr:colOff>
      <xdr:row>66</xdr:row>
      <xdr:rowOff>9525</xdr:rowOff>
    </xdr:to>
    <xdr:sp>
      <xdr:nvSpPr>
        <xdr:cNvPr id="1423610" name="Line 5"/>
        <xdr:cNvSpPr/>
      </xdr:nvSpPr>
      <xdr:spPr>
        <a:xfrm>
          <a:off x="9648825" y="14609445"/>
          <a:ext cx="85725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17</xdr:col>
      <xdr:colOff>66675</xdr:colOff>
      <xdr:row>61</xdr:row>
      <xdr:rowOff>28575</xdr:rowOff>
    </xdr:from>
    <xdr:to>
      <xdr:col>17</xdr:col>
      <xdr:colOff>152400</xdr:colOff>
      <xdr:row>61</xdr:row>
      <xdr:rowOff>28575</xdr:rowOff>
    </xdr:to>
    <xdr:sp>
      <xdr:nvSpPr>
        <xdr:cNvPr id="1423611" name="Line 6"/>
        <xdr:cNvSpPr/>
      </xdr:nvSpPr>
      <xdr:spPr>
        <a:xfrm>
          <a:off x="9886950" y="13809345"/>
          <a:ext cx="85725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17</xdr:col>
      <xdr:colOff>66675</xdr:colOff>
      <xdr:row>60</xdr:row>
      <xdr:rowOff>142875</xdr:rowOff>
    </xdr:from>
    <xdr:to>
      <xdr:col>17</xdr:col>
      <xdr:colOff>152400</xdr:colOff>
      <xdr:row>60</xdr:row>
      <xdr:rowOff>142875</xdr:rowOff>
    </xdr:to>
    <xdr:sp>
      <xdr:nvSpPr>
        <xdr:cNvPr id="1423612" name="Line 10"/>
        <xdr:cNvSpPr/>
      </xdr:nvSpPr>
      <xdr:spPr>
        <a:xfrm>
          <a:off x="9886950" y="13761720"/>
          <a:ext cx="85725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9525</xdr:colOff>
      <xdr:row>63</xdr:row>
      <xdr:rowOff>9525</xdr:rowOff>
    </xdr:from>
    <xdr:to>
      <xdr:col>7</xdr:col>
      <xdr:colOff>561975</xdr:colOff>
      <xdr:row>80</xdr:row>
      <xdr:rowOff>0</xdr:rowOff>
    </xdr:to>
    <xdr:graphicFrame>
      <xdr:nvGraphicFramePr>
        <xdr:cNvPr id="1423613" name="Chart 11"/>
        <xdr:cNvGraphicFramePr/>
      </xdr:nvGraphicFramePr>
      <xdr:xfrm>
        <a:off x="9525" y="14123670"/>
        <a:ext cx="4562475" cy="2990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571500</xdr:colOff>
      <xdr:row>63</xdr:row>
      <xdr:rowOff>9525</xdr:rowOff>
    </xdr:from>
    <xdr:to>
      <xdr:col>15</xdr:col>
      <xdr:colOff>9525</xdr:colOff>
      <xdr:row>80</xdr:row>
      <xdr:rowOff>0</xdr:rowOff>
    </xdr:to>
    <xdr:graphicFrame>
      <xdr:nvGraphicFramePr>
        <xdr:cNvPr id="1423614" name="Chart 12"/>
        <xdr:cNvGraphicFramePr/>
      </xdr:nvGraphicFramePr>
      <xdr:xfrm>
        <a:off x="4581525" y="14123670"/>
        <a:ext cx="4086225" cy="2990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561975</xdr:colOff>
      <xdr:row>64</xdr:row>
      <xdr:rowOff>76200</xdr:rowOff>
    </xdr:from>
    <xdr:to>
      <xdr:col>9</xdr:col>
      <xdr:colOff>561975</xdr:colOff>
      <xdr:row>77</xdr:row>
      <xdr:rowOff>104775</xdr:rowOff>
    </xdr:to>
    <xdr:sp>
      <xdr:nvSpPr>
        <xdr:cNvPr id="1423615" name="Line 13"/>
        <xdr:cNvSpPr/>
      </xdr:nvSpPr>
      <xdr:spPr>
        <a:xfrm flipV="1">
          <a:off x="5734050" y="14352270"/>
          <a:ext cx="0" cy="2276475"/>
        </a:xfrm>
        <a:prstGeom prst="line">
          <a:avLst/>
        </a:prstGeom>
        <a:ln w="1714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13</xdr:col>
      <xdr:colOff>200025</xdr:colOff>
      <xdr:row>64</xdr:row>
      <xdr:rowOff>76200</xdr:rowOff>
    </xdr:from>
    <xdr:to>
      <xdr:col>13</xdr:col>
      <xdr:colOff>200025</xdr:colOff>
      <xdr:row>77</xdr:row>
      <xdr:rowOff>19050</xdr:rowOff>
    </xdr:to>
    <xdr:sp>
      <xdr:nvSpPr>
        <xdr:cNvPr id="1423616" name="Line 14"/>
        <xdr:cNvSpPr/>
      </xdr:nvSpPr>
      <xdr:spPr>
        <a:xfrm flipV="1">
          <a:off x="7696200" y="14352270"/>
          <a:ext cx="0" cy="2190750"/>
        </a:xfrm>
        <a:prstGeom prst="line">
          <a:avLst/>
        </a:prstGeom>
        <a:ln w="1714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82</xdr:row>
      <xdr:rowOff>0</xdr:rowOff>
    </xdr:from>
    <xdr:to>
      <xdr:col>0</xdr:col>
      <xdr:colOff>333375</xdr:colOff>
      <xdr:row>92</xdr:row>
      <xdr:rowOff>0</xdr:rowOff>
    </xdr:to>
    <xdr:sp>
      <xdr:nvSpPr>
        <xdr:cNvPr id="2" name="Text 98"/>
        <xdr:cNvSpPr txBox="1">
          <a:spLocks noChangeArrowheads="1"/>
        </xdr:cNvSpPr>
      </xdr:nvSpPr>
      <xdr:spPr>
        <a:xfrm>
          <a:off x="0" y="17447895"/>
          <a:ext cx="333375" cy="1628775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altLang="zh-CN" sz="1000" b="1" i="0" strike="noStrike">
            <a:solidFill>
              <a:srgbClr val="FFFFFF"/>
            </a:solidFill>
            <a:latin typeface="Arial" panose="020B0604020202020204"/>
            <a:cs typeface="Arial" panose="020B0604020202020204"/>
          </a:endParaRPr>
        </a:p>
        <a:p>
          <a:pPr algn="ctr" rtl="0">
            <a:defRPr sz="1000"/>
          </a:pPr>
          <a:r>
            <a:rPr lang="en-US" altLang="zh-CN" sz="1000" b="1" i="0" strike="noStrike">
              <a:solidFill>
                <a:srgbClr val="FFFFFF"/>
              </a:solidFill>
              <a:latin typeface="Arial" panose="020B0604020202020204"/>
              <a:cs typeface="Arial" panose="020B0604020202020204"/>
            </a:rPr>
            <a:t>R</a:t>
          </a:r>
          <a:endParaRPr lang="en-US" altLang="zh-CN" sz="1000" b="1" i="0" strike="noStrike">
            <a:solidFill>
              <a:srgbClr val="FFFFFF"/>
            </a:solidFill>
            <a:latin typeface="Arial" panose="020B0604020202020204"/>
            <a:cs typeface="Arial" panose="020B0604020202020204"/>
          </a:endParaRPr>
        </a:p>
        <a:p>
          <a:pPr algn="ctr" rtl="0">
            <a:defRPr sz="1000"/>
          </a:pPr>
          <a:r>
            <a:rPr lang="en-US" altLang="zh-CN" sz="1000" b="1" i="0" strike="noStrike">
              <a:solidFill>
                <a:srgbClr val="FFFFFF"/>
              </a:solidFill>
              <a:latin typeface="Arial" panose="020B0604020202020204"/>
              <a:cs typeface="Arial" panose="020B0604020202020204"/>
            </a:rPr>
            <a:t>E</a:t>
          </a:r>
          <a:endParaRPr lang="en-US" altLang="zh-CN" sz="1000" b="1" i="0" strike="noStrike">
            <a:solidFill>
              <a:srgbClr val="FFFFFF"/>
            </a:solidFill>
            <a:latin typeface="Arial" panose="020B0604020202020204"/>
            <a:cs typeface="Arial" panose="020B0604020202020204"/>
          </a:endParaRPr>
        </a:p>
        <a:p>
          <a:pPr algn="ctr" rtl="0">
            <a:defRPr sz="1000"/>
          </a:pPr>
          <a:r>
            <a:rPr lang="en-US" altLang="zh-CN" sz="1000" b="1" i="0" strike="noStrike">
              <a:solidFill>
                <a:srgbClr val="FFFFFF"/>
              </a:solidFill>
              <a:latin typeface="Arial" panose="020B0604020202020204"/>
              <a:cs typeface="Arial" panose="020B0604020202020204"/>
            </a:rPr>
            <a:t>A</a:t>
          </a:r>
          <a:endParaRPr lang="en-US" altLang="zh-CN" sz="1000" b="1" i="0" strike="noStrike">
            <a:solidFill>
              <a:srgbClr val="FFFFFF"/>
            </a:solidFill>
            <a:latin typeface="Arial" panose="020B0604020202020204"/>
            <a:cs typeface="Arial" panose="020B0604020202020204"/>
          </a:endParaRPr>
        </a:p>
        <a:p>
          <a:pPr algn="ctr" rtl="0">
            <a:defRPr sz="1000"/>
          </a:pPr>
          <a:r>
            <a:rPr lang="en-US" altLang="zh-CN" sz="1000" b="1" i="0" strike="noStrike">
              <a:solidFill>
                <a:srgbClr val="FFFFFF"/>
              </a:solidFill>
              <a:latin typeface="Arial" panose="020B0604020202020204"/>
              <a:cs typeface="Arial" panose="020B0604020202020204"/>
            </a:rPr>
            <a:t>D</a:t>
          </a:r>
          <a:endParaRPr lang="en-US" altLang="zh-CN" sz="1000" b="1" i="0" strike="noStrike">
            <a:solidFill>
              <a:srgbClr val="FFFFFF"/>
            </a:solidFill>
            <a:latin typeface="Arial" panose="020B0604020202020204"/>
            <a:cs typeface="Arial" panose="020B0604020202020204"/>
          </a:endParaRPr>
        </a:p>
        <a:p>
          <a:pPr algn="ctr" rtl="0">
            <a:defRPr sz="1000"/>
          </a:pPr>
          <a:r>
            <a:rPr lang="en-US" altLang="zh-CN" sz="1000" b="1" i="0" strike="noStrike">
              <a:solidFill>
                <a:srgbClr val="FFFFFF"/>
              </a:solidFill>
              <a:latin typeface="Arial" panose="020B0604020202020204"/>
              <a:cs typeface="Arial" panose="020B0604020202020204"/>
            </a:rPr>
            <a:t>I</a:t>
          </a:r>
          <a:endParaRPr lang="en-US" altLang="zh-CN" sz="1000" b="1" i="0" strike="noStrike">
            <a:solidFill>
              <a:srgbClr val="FFFFFF"/>
            </a:solidFill>
            <a:latin typeface="Arial" panose="020B0604020202020204"/>
            <a:cs typeface="Arial" panose="020B0604020202020204"/>
          </a:endParaRPr>
        </a:p>
        <a:p>
          <a:pPr algn="ctr" rtl="0">
            <a:defRPr sz="1000"/>
          </a:pPr>
          <a:r>
            <a:rPr lang="en-US" altLang="zh-CN" sz="1000" b="1" i="0" strike="noStrike">
              <a:solidFill>
                <a:srgbClr val="FFFFFF"/>
              </a:solidFill>
              <a:latin typeface="Arial" panose="020B0604020202020204"/>
              <a:cs typeface="Arial" panose="020B0604020202020204"/>
            </a:rPr>
            <a:t>N</a:t>
          </a:r>
          <a:endParaRPr lang="en-US" altLang="zh-CN" sz="1000" b="1" i="0" strike="noStrike">
            <a:solidFill>
              <a:srgbClr val="FFFFFF"/>
            </a:solidFill>
            <a:latin typeface="Arial" panose="020B0604020202020204"/>
            <a:cs typeface="Arial" panose="020B0604020202020204"/>
          </a:endParaRPr>
        </a:p>
        <a:p>
          <a:pPr algn="ctr" rtl="0">
            <a:defRPr sz="1000"/>
          </a:pPr>
          <a:r>
            <a:rPr lang="en-US" altLang="zh-CN" sz="1000" b="1" i="0" strike="noStrike">
              <a:solidFill>
                <a:srgbClr val="FFFFFF"/>
              </a:solidFill>
              <a:latin typeface="Arial" panose="020B0604020202020204"/>
              <a:cs typeface="Arial" panose="020B0604020202020204"/>
            </a:rPr>
            <a:t>G</a:t>
          </a:r>
          <a:endParaRPr lang="en-US" altLang="zh-CN" sz="1000" b="1" i="0" strike="noStrike">
            <a:solidFill>
              <a:srgbClr val="FFFFFF"/>
            </a:solidFill>
            <a:latin typeface="Arial" panose="020B0604020202020204"/>
            <a:cs typeface="Arial" panose="020B0604020202020204"/>
          </a:endParaRPr>
        </a:p>
        <a:p>
          <a:pPr algn="ctr" rtl="0">
            <a:defRPr sz="1000"/>
          </a:pPr>
          <a:r>
            <a:rPr lang="en-US" altLang="zh-CN" sz="1000" b="1" i="0" strike="noStrike">
              <a:solidFill>
                <a:srgbClr val="FFFFFF"/>
              </a:solidFill>
              <a:latin typeface="Arial" panose="020B0604020202020204"/>
              <a:cs typeface="Arial" panose="020B0604020202020204"/>
            </a:rPr>
            <a:t>S</a:t>
          </a:r>
          <a:endParaRPr lang="en-US" altLang="zh-CN" sz="1000" b="1" i="0" strike="noStrike">
            <a:solidFill>
              <a:srgbClr val="FFFFFF"/>
            </a:solidFill>
            <a:latin typeface="Arial" panose="020B0604020202020204"/>
            <a:cs typeface="Arial" panose="020B0604020202020204"/>
          </a:endParaRPr>
        </a:p>
      </xdr:txBody>
    </xdr:sp>
    <xdr:clientData/>
  </xdr:twoCellAnchor>
  <xdr:twoCellAnchor>
    <xdr:from>
      <xdr:col>0</xdr:col>
      <xdr:colOff>0</xdr:colOff>
      <xdr:row>95</xdr:row>
      <xdr:rowOff>0</xdr:rowOff>
    </xdr:from>
    <xdr:to>
      <xdr:col>0</xdr:col>
      <xdr:colOff>333375</xdr:colOff>
      <xdr:row>105</xdr:row>
      <xdr:rowOff>0</xdr:rowOff>
    </xdr:to>
    <xdr:sp>
      <xdr:nvSpPr>
        <xdr:cNvPr id="3" name="Text 100"/>
        <xdr:cNvSpPr txBox="1">
          <a:spLocks noChangeArrowheads="1"/>
        </xdr:cNvSpPr>
      </xdr:nvSpPr>
      <xdr:spPr>
        <a:xfrm>
          <a:off x="0" y="19571970"/>
          <a:ext cx="333375" cy="1628775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altLang="zh-CN" sz="1000" b="1" i="0" strike="noStrike">
            <a:solidFill>
              <a:srgbClr val="FFFFFF"/>
            </a:solidFill>
            <a:latin typeface="Arial" panose="020B0604020202020204"/>
            <a:cs typeface="Arial" panose="020B0604020202020204"/>
          </a:endParaRPr>
        </a:p>
        <a:p>
          <a:pPr algn="ctr" rtl="0">
            <a:defRPr sz="1000"/>
          </a:pPr>
          <a:r>
            <a:rPr lang="en-US" altLang="zh-CN" sz="1000" b="1" i="0" strike="noStrike">
              <a:solidFill>
                <a:srgbClr val="FFFFFF"/>
              </a:solidFill>
              <a:latin typeface="Arial" panose="020B0604020202020204"/>
              <a:cs typeface="Arial" panose="020B0604020202020204"/>
            </a:rPr>
            <a:t>R</a:t>
          </a:r>
          <a:endParaRPr lang="en-US" altLang="zh-CN" sz="1000" b="1" i="0" strike="noStrike">
            <a:solidFill>
              <a:srgbClr val="FFFFFF"/>
            </a:solidFill>
            <a:latin typeface="Arial" panose="020B0604020202020204"/>
            <a:cs typeface="Arial" panose="020B0604020202020204"/>
          </a:endParaRPr>
        </a:p>
        <a:p>
          <a:pPr algn="ctr" rtl="0">
            <a:defRPr sz="1000"/>
          </a:pPr>
          <a:r>
            <a:rPr lang="en-US" altLang="zh-CN" sz="1000" b="1" i="0" strike="noStrike">
              <a:solidFill>
                <a:srgbClr val="FFFFFF"/>
              </a:solidFill>
              <a:latin typeface="Arial" panose="020B0604020202020204"/>
              <a:cs typeface="Arial" panose="020B0604020202020204"/>
            </a:rPr>
            <a:t>E</a:t>
          </a:r>
          <a:endParaRPr lang="en-US" altLang="zh-CN" sz="1000" b="1" i="0" strike="noStrike">
            <a:solidFill>
              <a:srgbClr val="FFFFFF"/>
            </a:solidFill>
            <a:latin typeface="Arial" panose="020B0604020202020204"/>
            <a:cs typeface="Arial" panose="020B0604020202020204"/>
          </a:endParaRPr>
        </a:p>
        <a:p>
          <a:pPr algn="ctr" rtl="0">
            <a:defRPr sz="1000"/>
          </a:pPr>
          <a:r>
            <a:rPr lang="en-US" altLang="zh-CN" sz="1000" b="1" i="0" strike="noStrike">
              <a:solidFill>
                <a:srgbClr val="FFFFFF"/>
              </a:solidFill>
              <a:latin typeface="Arial" panose="020B0604020202020204"/>
              <a:cs typeface="Arial" panose="020B0604020202020204"/>
            </a:rPr>
            <a:t>A</a:t>
          </a:r>
          <a:endParaRPr lang="en-US" altLang="zh-CN" sz="1000" b="1" i="0" strike="noStrike">
            <a:solidFill>
              <a:srgbClr val="FFFFFF"/>
            </a:solidFill>
            <a:latin typeface="Arial" panose="020B0604020202020204"/>
            <a:cs typeface="Arial" panose="020B0604020202020204"/>
          </a:endParaRPr>
        </a:p>
        <a:p>
          <a:pPr algn="ctr" rtl="0">
            <a:defRPr sz="1000"/>
          </a:pPr>
          <a:r>
            <a:rPr lang="en-US" altLang="zh-CN" sz="1000" b="1" i="0" strike="noStrike">
              <a:solidFill>
                <a:srgbClr val="FFFFFF"/>
              </a:solidFill>
              <a:latin typeface="Arial" panose="020B0604020202020204"/>
              <a:cs typeface="Arial" panose="020B0604020202020204"/>
            </a:rPr>
            <a:t>D</a:t>
          </a:r>
          <a:endParaRPr lang="en-US" altLang="zh-CN" sz="1000" b="1" i="0" strike="noStrike">
            <a:solidFill>
              <a:srgbClr val="FFFFFF"/>
            </a:solidFill>
            <a:latin typeface="Arial" panose="020B0604020202020204"/>
            <a:cs typeface="Arial" panose="020B0604020202020204"/>
          </a:endParaRPr>
        </a:p>
        <a:p>
          <a:pPr algn="ctr" rtl="0">
            <a:defRPr sz="1000"/>
          </a:pPr>
          <a:r>
            <a:rPr lang="en-US" altLang="zh-CN" sz="1000" b="1" i="0" strike="noStrike">
              <a:solidFill>
                <a:srgbClr val="FFFFFF"/>
              </a:solidFill>
              <a:latin typeface="Arial" panose="020B0604020202020204"/>
              <a:cs typeface="Arial" panose="020B0604020202020204"/>
            </a:rPr>
            <a:t>I</a:t>
          </a:r>
          <a:endParaRPr lang="en-US" altLang="zh-CN" sz="1000" b="1" i="0" strike="noStrike">
            <a:solidFill>
              <a:srgbClr val="FFFFFF"/>
            </a:solidFill>
            <a:latin typeface="Arial" panose="020B0604020202020204"/>
            <a:cs typeface="Arial" panose="020B0604020202020204"/>
          </a:endParaRPr>
        </a:p>
        <a:p>
          <a:pPr algn="ctr" rtl="0">
            <a:defRPr sz="1000"/>
          </a:pPr>
          <a:r>
            <a:rPr lang="en-US" altLang="zh-CN" sz="1000" b="1" i="0" strike="noStrike">
              <a:solidFill>
                <a:srgbClr val="FFFFFF"/>
              </a:solidFill>
              <a:latin typeface="Arial" panose="020B0604020202020204"/>
              <a:cs typeface="Arial" panose="020B0604020202020204"/>
            </a:rPr>
            <a:t>N</a:t>
          </a:r>
          <a:endParaRPr lang="en-US" altLang="zh-CN" sz="1000" b="1" i="0" strike="noStrike">
            <a:solidFill>
              <a:srgbClr val="FFFFFF"/>
            </a:solidFill>
            <a:latin typeface="Arial" panose="020B0604020202020204"/>
            <a:cs typeface="Arial" panose="020B0604020202020204"/>
          </a:endParaRPr>
        </a:p>
        <a:p>
          <a:pPr algn="ctr" rtl="0">
            <a:defRPr sz="1000"/>
          </a:pPr>
          <a:r>
            <a:rPr lang="en-US" altLang="zh-CN" sz="1000" b="1" i="0" strike="noStrike">
              <a:solidFill>
                <a:srgbClr val="FFFFFF"/>
              </a:solidFill>
              <a:latin typeface="Arial" panose="020B0604020202020204"/>
              <a:cs typeface="Arial" panose="020B0604020202020204"/>
            </a:rPr>
            <a:t>G</a:t>
          </a:r>
          <a:endParaRPr lang="en-US" altLang="zh-CN" sz="1000" b="1" i="0" strike="noStrike">
            <a:solidFill>
              <a:srgbClr val="FFFFFF"/>
            </a:solidFill>
            <a:latin typeface="Arial" panose="020B0604020202020204"/>
            <a:cs typeface="Arial" panose="020B0604020202020204"/>
          </a:endParaRPr>
        </a:p>
        <a:p>
          <a:pPr algn="ctr" rtl="0">
            <a:defRPr sz="1000"/>
          </a:pPr>
          <a:r>
            <a:rPr lang="en-US" altLang="zh-CN" sz="1000" b="1" i="0" strike="noStrike">
              <a:solidFill>
                <a:srgbClr val="FFFFFF"/>
              </a:solidFill>
              <a:latin typeface="Arial" panose="020B0604020202020204"/>
              <a:cs typeface="Arial" panose="020B0604020202020204"/>
            </a:rPr>
            <a:t>S</a:t>
          </a:r>
          <a:endParaRPr lang="en-US" altLang="zh-CN" sz="1000" b="1" i="0" strike="noStrike">
            <a:solidFill>
              <a:srgbClr val="FFFFFF"/>
            </a:solidFill>
            <a:latin typeface="Arial" panose="020B0604020202020204"/>
            <a:cs typeface="Arial" panose="020B0604020202020204"/>
          </a:endParaRPr>
        </a:p>
      </xdr:txBody>
    </xdr:sp>
    <xdr:clientData/>
  </xdr:twoCellAnchor>
  <xdr:twoCellAnchor>
    <xdr:from>
      <xdr:col>5</xdr:col>
      <xdr:colOff>533400</xdr:colOff>
      <xdr:row>0</xdr:row>
      <xdr:rowOff>45085</xdr:rowOff>
    </xdr:from>
    <xdr:to>
      <xdr:col>13</xdr:col>
      <xdr:colOff>542925</xdr:colOff>
      <xdr:row>1</xdr:row>
      <xdr:rowOff>38100</xdr:rowOff>
    </xdr:to>
    <xdr:sp>
      <xdr:nvSpPr>
        <xdr:cNvPr id="1423619" name="Rectangle 17"/>
        <xdr:cNvSpPr/>
      </xdr:nvSpPr>
      <xdr:spPr>
        <a:xfrm>
          <a:off x="3381375" y="45085"/>
          <a:ext cx="4657725" cy="385064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/>
          <a:headEnd type="none" w="med" len="med"/>
          <a:tailEnd type="none" w="med" len="med"/>
        </a:ln>
        <a:effectLst>
          <a:outerShdw dist="35921" dir="2699999" algn="ctr" rotWithShape="0">
            <a:srgbClr val="000000"/>
          </a:outerShdw>
        </a:effec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28575</xdr:rowOff>
        </xdr:from>
        <xdr:to>
          <xdr:col>2</xdr:col>
          <xdr:colOff>571500</xdr:colOff>
          <xdr:row>2</xdr:row>
          <xdr:rowOff>238125</xdr:rowOff>
        </xdr:to>
        <xdr:sp>
          <xdr:nvSpPr>
            <xdr:cNvPr id="145409" name="Option Button 7" hidden="1">
              <a:extLst>
                <a:ext uri="{63B3BB69-23CF-44E3-9099-C40C66FF867C}">
                  <a14:compatExt spid="_x0000_s145409"/>
                </a:ext>
              </a:extLst>
            </xdr:cNvPr>
            <xdr:cNvSpPr/>
          </xdr:nvSpPr>
          <xdr:spPr>
            <a:xfrm>
              <a:off x="0" y="4048125"/>
              <a:ext cx="1676400" cy="209550"/>
            </a:xfrm>
            <a:prstGeom prst="rect">
              <a:avLst/>
            </a:prstGeom>
          </xdr:spPr>
          <xdr:txBody>
            <a:bodyPr vert="horz" lIns="27432" tIns="18288" rIns="0" bIns="18288" anchor="ctr" anchorCtr="0" upright="1"/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双边公差 (bilateral)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571500</xdr:colOff>
          <xdr:row>2</xdr:row>
          <xdr:rowOff>28575</xdr:rowOff>
        </xdr:from>
        <xdr:to>
          <xdr:col>5</xdr:col>
          <xdr:colOff>504825</xdr:colOff>
          <xdr:row>2</xdr:row>
          <xdr:rowOff>238125</xdr:rowOff>
        </xdr:to>
        <xdr:sp>
          <xdr:nvSpPr>
            <xdr:cNvPr id="145410" name="Option Button 8" hidden="1">
              <a:extLst>
                <a:ext uri="{63B3BB69-23CF-44E3-9099-C40C66FF867C}">
                  <a14:compatExt spid="_x0000_s145410"/>
                </a:ext>
              </a:extLst>
            </xdr:cNvPr>
            <xdr:cNvSpPr/>
          </xdr:nvSpPr>
          <xdr:spPr>
            <a:xfrm>
              <a:off x="1676400" y="4048125"/>
              <a:ext cx="1676400" cy="209550"/>
            </a:xfrm>
            <a:prstGeom prst="rect">
              <a:avLst/>
            </a:prstGeom>
          </xdr:spPr>
          <xdr:txBody>
            <a:bodyPr vert="horz" lIns="27432" tIns="18288" rIns="0" bIns="18288" anchor="ctr" anchorCtr="0" upright="1"/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单边</a:t>
              </a:r>
              <a:r>
                <a:rPr lang="zh-CN" altLang="en-US" sz="900">
                  <a:solidFill>
                    <a:srgbClr val="000000"/>
                  </a:solidFill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rPr>
                <a:t>one side</a:t>
              </a:r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 (MIN)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28575</xdr:rowOff>
        </xdr:from>
        <xdr:to>
          <xdr:col>8</xdr:col>
          <xdr:colOff>0</xdr:colOff>
          <xdr:row>2</xdr:row>
          <xdr:rowOff>238125</xdr:rowOff>
        </xdr:to>
        <xdr:sp>
          <xdr:nvSpPr>
            <xdr:cNvPr id="145411" name="Option Button 9" hidden="1">
              <a:extLst>
                <a:ext uri="{63B3BB69-23CF-44E3-9099-C40C66FF867C}">
                  <a14:compatExt spid="_x0000_s145411"/>
                </a:ext>
              </a:extLst>
            </xdr:cNvPr>
            <xdr:cNvSpPr/>
          </xdr:nvSpPr>
          <xdr:spPr>
            <a:xfrm>
              <a:off x="3429000" y="4048125"/>
              <a:ext cx="1162050" cy="209550"/>
            </a:xfrm>
            <a:prstGeom prst="rect">
              <a:avLst/>
            </a:prstGeom>
          </xdr:spPr>
          <xdr:txBody>
            <a:bodyPr vert="horz" lIns="27432" tIns="18288" rIns="0" bIns="18288" anchor="ctr" anchorCtr="0" upright="1"/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单边</a:t>
              </a:r>
              <a:r>
                <a:rPr lang="zh-CN" altLang="en-US" sz="900">
                  <a:solidFill>
                    <a:srgbClr val="000000"/>
                  </a:solidFill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rPr>
                <a:t>one side</a:t>
              </a:r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(MAX)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Lock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-huasm01\shared\BOM\B5\SVW-D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hanges"/>
      <sheetName val="Constant"/>
      <sheetName val="BOM"/>
      <sheetName val="List"/>
      <sheetName val="DwgRelease"/>
      <sheetName val="Cache"/>
      <sheetName val="Swap"/>
      <sheetName val="MasterList"/>
      <sheetName val="Obsole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2.xml.rels><?xml version="1.0" encoding="UTF-8" standalone="yes"?>
<Relationships xmlns="http://schemas.openxmlformats.org/package/2006/relationships"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$A1:$XFD65536"/>
    </sheetView>
  </sheetViews>
  <sheetFormatPr defaultColWidth="9.14285714285714" defaultRowHeight="12.75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50"/>
  </sheetPr>
  <dimension ref="A1:BU107"/>
  <sheetViews>
    <sheetView showGridLines="0" zoomScaleSheetLayoutView="60" topLeftCell="A12" workbookViewId="0">
      <selection activeCell="E102" sqref="E102"/>
    </sheetView>
  </sheetViews>
  <sheetFormatPr defaultColWidth="8.85714285714286" defaultRowHeight="12.75"/>
  <cols>
    <col min="1" max="1" width="7.85714285714286" style="3" customWidth="1"/>
    <col min="2" max="21" width="8.71428571428571" style="4" customWidth="1"/>
    <col min="22" max="26" width="8.71428571428571" style="5" customWidth="1"/>
    <col min="27" max="28" width="6" style="5" hidden="1" customWidth="1"/>
    <col min="29" max="29" width="6" style="5" customWidth="1"/>
    <col min="30" max="30" width="7.28571428571429" style="5" customWidth="1"/>
    <col min="31" max="73" width="8.85714285714286" style="5" customWidth="1"/>
    <col min="74" max="16384" width="8.85714285714286" style="6"/>
  </cols>
  <sheetData>
    <row r="1" ht="303.75" spans="1:49">
      <c r="A1"/>
      <c r="B1"/>
      <c r="C1" s="7"/>
      <c r="D1" s="8"/>
      <c r="E1" s="7"/>
      <c r="F1" s="9"/>
      <c r="G1" s="10" t="s">
        <v>0</v>
      </c>
      <c r="H1" s="11"/>
      <c r="I1" s="11"/>
      <c r="J1" s="11"/>
      <c r="K1" s="11"/>
      <c r="L1" s="11"/>
      <c r="M1" s="11"/>
      <c r="N1" s="11"/>
      <c r="O1" s="12"/>
      <c r="P1" s="12"/>
      <c r="Q1" s="13"/>
      <c r="R1" s="14"/>
      <c r="S1" s="14"/>
      <c r="T1" s="8"/>
      <c r="U1" s="15" t="str">
        <f ca="1">IF(T57="","",IF(AE84=0,"PROCESS IS CAPABLE","(see if any notes are on page 2)"))</f>
        <v>(see if any notes are on page 2)</v>
      </c>
    </row>
    <row r="2" customHeight="1" spans="1:49">
      <c r="A2" s="16" t="s">
        <v>1</v>
      </c>
      <c r="B2" s="17"/>
      <c r="C2" s="7"/>
      <c r="D2" s="8"/>
      <c r="E2" s="7"/>
      <c r="F2" s="18"/>
      <c r="G2" s="8"/>
      <c r="H2" s="7"/>
      <c r="I2" s="7"/>
      <c r="J2" s="19"/>
      <c r="K2" s="20"/>
      <c r="L2" s="21"/>
      <c r="M2" s="22"/>
      <c r="N2" s="19"/>
      <c r="O2" s="19"/>
      <c r="P2" s="14"/>
      <c r="Q2" s="13"/>
      <c r="R2" s="14"/>
      <c r="S2" s="14"/>
      <c r="T2" s="13"/>
      <c r="U2" s="8"/>
    </row>
    <row r="3" ht="24" spans="1:49">
      <c r="A3" s="23"/>
      <c r="B3" s="24"/>
      <c r="C3" s="25"/>
      <c r="D3" s="26"/>
      <c r="E3" s="25"/>
      <c r="F3" s="27"/>
      <c r="G3" s="26"/>
      <c r="H3" s="28"/>
      <c r="I3" s="7"/>
      <c r="J3" s="29"/>
      <c r="K3" s="30"/>
      <c r="L3" s="30"/>
      <c r="M3" s="31" t="s">
        <v>2</v>
      </c>
      <c r="N3" s="32">
        <v>5</v>
      </c>
      <c r="O3" s="19"/>
      <c r="P3" s="13"/>
      <c r="Q3" s="33" t="s">
        <v>3</v>
      </c>
      <c r="R3" s="34"/>
      <c r="S3" s="35"/>
      <c r="T3" s="35"/>
      <c r="U3" s="36"/>
      <c r="AA3" s="37">
        <v>1</v>
      </c>
      <c r="AW3" s="5">
        <f>AA3</f>
        <v>1</v>
      </c>
    </row>
    <row r="4" ht="14.1" customHeight="1" spans="1:49">
      <c r="A4"/>
      <c r="B4"/>
      <c r="C4" s="38" t="s">
        <v>4</v>
      </c>
      <c r="D4" s="38" t="s">
        <v>5</v>
      </c>
      <c r="E4" s="38" t="s">
        <v>6</v>
      </c>
      <c r="F4" s="38" t="s">
        <v>7</v>
      </c>
      <c r="G4" s="38" t="s">
        <v>8</v>
      </c>
      <c r="H4" s="38" t="s">
        <v>9</v>
      </c>
      <c r="I4" s="38" t="s">
        <v>10</v>
      </c>
      <c r="J4" s="39"/>
      <c r="K4" s="39"/>
      <c r="L4" s="39"/>
      <c r="M4" s="39"/>
      <c r="N4" s="39"/>
      <c r="O4" s="8"/>
      <c r="P4" s="13"/>
      <c r="Q4" s="40" t="s">
        <v>11</v>
      </c>
      <c r="R4" s="41"/>
      <c r="S4" s="41"/>
      <c r="T4" s="42" t="s">
        <v>12</v>
      </c>
      <c r="U4" s="43" t="s">
        <v>13</v>
      </c>
      <c r="W4" s="5" t="s">
        <v>14</v>
      </c>
      <c r="X4" s="5" t="s">
        <v>15</v>
      </c>
      <c r="Y4" s="5" t="s">
        <v>16</v>
      </c>
      <c r="AF4" s="5" t="s">
        <v>17</v>
      </c>
      <c r="AH4" s="5">
        <f t="shared" ref="AH4:AH14" si="0">AVERAGE(AI4:AJ4)</f>
        <v>20.0985</v>
      </c>
      <c r="AI4" s="5">
        <f>AJ4-AM19</f>
        <v>20.097</v>
      </c>
      <c r="AJ4" s="5">
        <f>AM16</f>
        <v>20.1</v>
      </c>
      <c r="AK4" s="5">
        <f ca="1" t="shared" ref="AK4:AK14" si="1">COUNTIF($B$83:$AB$87,"&lt;="&amp;INDIRECT(AL4))</f>
        <v>5</v>
      </c>
      <c r="AL4" s="5" t="s">
        <v>18</v>
      </c>
      <c r="AM4" s="5">
        <f ca="1">AK4</f>
        <v>5</v>
      </c>
      <c r="AQ4" s="5">
        <f t="shared" ref="AQ4:AQ14" si="2">AVERAGE(AR4:AS4)</f>
        <v>20</v>
      </c>
      <c r="AR4" s="5">
        <f>AS4-AV19</f>
        <v>19.99</v>
      </c>
      <c r="AS4" s="5">
        <f>AV16</f>
        <v>20.01</v>
      </c>
      <c r="AT4" s="5">
        <f ca="1" t="shared" ref="AT4:AT14" si="3">COUNTIF($B$83:$AB$87,"&lt;="&amp;INDIRECT(AU4))</f>
        <v>0</v>
      </c>
      <c r="AU4" s="5" t="s">
        <v>19</v>
      </c>
      <c r="AV4" s="5">
        <v>0</v>
      </c>
      <c r="AW4" s="5" t="s">
        <v>20</v>
      </c>
    </row>
    <row r="5" customHeight="1" spans="1:49">
      <c r="A5" s="44" t="s">
        <v>21</v>
      </c>
      <c r="B5" s="45"/>
      <c r="C5" s="46" t="s">
        <v>22</v>
      </c>
      <c r="D5" s="47"/>
      <c r="E5" s="48" t="s">
        <v>23</v>
      </c>
      <c r="F5" s="49"/>
      <c r="G5" s="49"/>
      <c r="H5" s="49"/>
      <c r="I5" s="49"/>
      <c r="J5" s="50" t="s">
        <v>24</v>
      </c>
      <c r="K5" s="51" t="s">
        <v>25</v>
      </c>
      <c r="L5" s="52"/>
      <c r="M5" s="53" t="s">
        <v>26</v>
      </c>
      <c r="N5" s="54" t="s">
        <v>27</v>
      </c>
      <c r="O5" s="55"/>
      <c r="P5" s="13"/>
      <c r="Q5" s="56" t="s">
        <v>28</v>
      </c>
      <c r="R5" s="57" t="s">
        <v>29</v>
      </c>
      <c r="S5" s="58"/>
      <c r="T5" s="59">
        <f>IF(T57="","",AF29)</f>
        <v>2</v>
      </c>
      <c r="U5" s="60">
        <f>IF(T57="","",AF36)</f>
        <v>2</v>
      </c>
      <c r="V5" s="5" t="s">
        <v>30</v>
      </c>
      <c r="W5" s="5" t="s">
        <v>31</v>
      </c>
      <c r="X5" s="5" t="s">
        <v>32</v>
      </c>
      <c r="Y5" s="5" t="s">
        <v>33</v>
      </c>
      <c r="AC5" s="5" t="s">
        <v>34</v>
      </c>
      <c r="AD5" s="5">
        <f>IF(AA3=2,"N/A",(T60-T62)/(3*T74))</f>
        <v>1.87101571233026</v>
      </c>
      <c r="AH5" s="5">
        <f t="shared" si="0"/>
        <v>20.1015</v>
      </c>
      <c r="AI5" s="5">
        <f t="shared" ref="AI5:AI14" si="4">AJ4</f>
        <v>20.1</v>
      </c>
      <c r="AJ5" s="5">
        <f t="shared" ref="AJ5:AJ14" si="5">AI5+$AM$19</f>
        <v>20.103</v>
      </c>
      <c r="AK5" s="5">
        <f ca="1" t="shared" si="1"/>
        <v>5</v>
      </c>
      <c r="AL5" s="5" t="s">
        <v>35</v>
      </c>
      <c r="AM5" s="5">
        <f ca="1" t="shared" ref="AM5:AM14" si="6">AK5-AK4</f>
        <v>0</v>
      </c>
      <c r="AQ5" s="5">
        <f t="shared" si="2"/>
        <v>20.02</v>
      </c>
      <c r="AR5" s="5">
        <f t="shared" ref="AR5:AR14" si="7">AS4</f>
        <v>20.01</v>
      </c>
      <c r="AS5" s="5">
        <f t="shared" ref="AS5:AS14" si="8">AR5+$AV$19</f>
        <v>20.03</v>
      </c>
      <c r="AT5" s="5">
        <f ca="1" t="shared" si="3"/>
        <v>0</v>
      </c>
      <c r="AU5" s="5" t="s">
        <v>36</v>
      </c>
      <c r="AV5" s="5">
        <f ca="1" t="shared" ref="AV5:AV14" si="9">AT5-AT4</f>
        <v>0</v>
      </c>
      <c r="AW5" s="5" t="s">
        <v>37</v>
      </c>
    </row>
    <row r="6" customHeight="1" spans="1:49">
      <c r="A6" s="61" t="s">
        <v>38</v>
      </c>
      <c r="B6" s="62"/>
      <c r="C6" s="63" t="s">
        <v>39</v>
      </c>
      <c r="D6" s="64"/>
      <c r="E6" s="65" t="s">
        <v>40</v>
      </c>
      <c r="F6" s="66"/>
      <c r="G6" s="66"/>
      <c r="H6" s="67"/>
      <c r="I6" s="68" t="s">
        <v>41</v>
      </c>
      <c r="J6" s="69"/>
      <c r="K6" s="70"/>
      <c r="L6" s="71" t="s">
        <v>42</v>
      </c>
      <c r="M6" s="72"/>
      <c r="N6" s="66"/>
      <c r="O6" s="73"/>
      <c r="P6" s="13"/>
      <c r="Q6" s="74"/>
      <c r="R6" s="75" t="s">
        <v>43</v>
      </c>
      <c r="S6" s="76"/>
      <c r="T6" s="77">
        <f ca="1">IF(T57="","",AF31)</f>
        <v>7</v>
      </c>
      <c r="U6" s="78">
        <f ca="1">IF(T57="","",AF38)</f>
        <v>6</v>
      </c>
      <c r="V6" s="5">
        <v>2</v>
      </c>
      <c r="W6" s="5">
        <v>1.88</v>
      </c>
      <c r="X6" s="5">
        <v>0</v>
      </c>
      <c r="Y6" s="5">
        <v>3.267</v>
      </c>
      <c r="AC6" s="5" t="s">
        <v>44</v>
      </c>
      <c r="AD6" s="5">
        <f>IF(AA3=3,"N/A",(T62-T58)/(3*T74))</f>
        <v>3.54280289973056</v>
      </c>
      <c r="AH6" s="5">
        <f t="shared" si="0"/>
        <v>20.1045</v>
      </c>
      <c r="AI6" s="5">
        <f t="shared" si="4"/>
        <v>20.103</v>
      </c>
      <c r="AJ6" s="5">
        <f t="shared" si="5"/>
        <v>20.106</v>
      </c>
      <c r="AK6" s="5">
        <f ca="1" t="shared" si="1"/>
        <v>5</v>
      </c>
      <c r="AL6" s="5" t="s">
        <v>45</v>
      </c>
      <c r="AM6" s="5">
        <f ca="1" t="shared" si="6"/>
        <v>0</v>
      </c>
      <c r="AQ6" s="5">
        <f t="shared" si="2"/>
        <v>20.04</v>
      </c>
      <c r="AR6" s="5">
        <f t="shared" si="7"/>
        <v>20.03</v>
      </c>
      <c r="AS6" s="5">
        <f t="shared" si="8"/>
        <v>20.05</v>
      </c>
      <c r="AT6" s="5">
        <f ca="1" t="shared" si="3"/>
        <v>0</v>
      </c>
      <c r="AU6" s="5" t="s">
        <v>46</v>
      </c>
      <c r="AV6" s="5">
        <f ca="1" t="shared" si="9"/>
        <v>0</v>
      </c>
      <c r="AW6" s="5" t="s">
        <v>47</v>
      </c>
    </row>
    <row r="7" customHeight="1" spans="1:49">
      <c r="A7" s="79"/>
      <c r="B7" s="80"/>
      <c r="C7" s="63" t="s">
        <v>48</v>
      </c>
      <c r="D7" s="64"/>
      <c r="E7" s="81" t="s">
        <v>49</v>
      </c>
      <c r="F7" s="72"/>
      <c r="G7" s="72"/>
      <c r="H7" s="82"/>
      <c r="I7" s="68" t="s">
        <v>50</v>
      </c>
      <c r="J7" s="83"/>
      <c r="K7" s="84"/>
      <c r="L7" s="85">
        <v>1</v>
      </c>
      <c r="M7" s="66"/>
      <c r="N7" s="66"/>
      <c r="O7" s="86"/>
      <c r="P7" s="13"/>
      <c r="Q7" s="56" t="s">
        <v>51</v>
      </c>
      <c r="R7" s="57" t="s">
        <v>29</v>
      </c>
      <c r="S7" s="58"/>
      <c r="T7" s="59">
        <f>IF(T57="","",AF30)</f>
        <v>3</v>
      </c>
      <c r="U7" s="60">
        <f>IF(T57="","",AF37)</f>
        <v>2</v>
      </c>
      <c r="V7" s="5">
        <v>3</v>
      </c>
      <c r="W7" s="5">
        <v>1.023</v>
      </c>
      <c r="X7" s="5">
        <v>0</v>
      </c>
      <c r="Y7" s="5">
        <v>2.574</v>
      </c>
      <c r="AH7" s="5">
        <f t="shared" si="0"/>
        <v>20.1075</v>
      </c>
      <c r="AI7" s="5">
        <f t="shared" si="4"/>
        <v>20.106</v>
      </c>
      <c r="AJ7" s="5">
        <f t="shared" si="5"/>
        <v>20.109</v>
      </c>
      <c r="AK7" s="5">
        <f ca="1" t="shared" si="1"/>
        <v>5</v>
      </c>
      <c r="AL7" s="5" t="s">
        <v>52</v>
      </c>
      <c r="AM7" s="5">
        <f ca="1" t="shared" si="6"/>
        <v>0</v>
      </c>
      <c r="AQ7" s="5">
        <f t="shared" si="2"/>
        <v>20.06</v>
      </c>
      <c r="AR7" s="5">
        <f t="shared" si="7"/>
        <v>20.05</v>
      </c>
      <c r="AS7" s="5">
        <f t="shared" si="8"/>
        <v>20.07</v>
      </c>
      <c r="AT7" s="5">
        <f ca="1" t="shared" si="3"/>
        <v>0</v>
      </c>
      <c r="AU7" s="5" t="s">
        <v>53</v>
      </c>
      <c r="AV7" s="5">
        <f ca="1" t="shared" si="9"/>
        <v>0</v>
      </c>
      <c r="AW7" s="5" t="s">
        <v>54</v>
      </c>
    </row>
    <row r="8" customHeight="1" spans="1:49">
      <c r="A8" s="44" t="s">
        <v>55</v>
      </c>
      <c r="B8" s="45"/>
      <c r="C8" s="63" t="s">
        <v>56</v>
      </c>
      <c r="D8" s="64"/>
      <c r="E8" s="87"/>
      <c r="F8" s="66"/>
      <c r="G8" s="66"/>
      <c r="H8" s="64"/>
      <c r="I8" s="88" t="s">
        <v>57</v>
      </c>
      <c r="J8" s="83"/>
      <c r="K8" s="81" t="s">
        <v>58</v>
      </c>
      <c r="L8" s="66"/>
      <c r="M8" s="66"/>
      <c r="N8" s="66"/>
      <c r="O8" s="86"/>
      <c r="P8" s="13"/>
      <c r="Q8" s="74"/>
      <c r="R8" s="75" t="s">
        <v>43</v>
      </c>
      <c r="S8" s="76"/>
      <c r="T8" s="89">
        <f ca="1">IF(T57="","",AF32)</f>
        <v>3</v>
      </c>
      <c r="U8" s="90">
        <f ca="1">IF(T57="","",AF39)</f>
        <v>7</v>
      </c>
      <c r="V8" s="5">
        <v>4</v>
      </c>
      <c r="W8" s="5">
        <v>0.729</v>
      </c>
      <c r="X8" s="5">
        <v>0</v>
      </c>
      <c r="Y8" s="5">
        <v>2.282</v>
      </c>
      <c r="AH8" s="5">
        <f t="shared" si="0"/>
        <v>20.1105</v>
      </c>
      <c r="AI8" s="5">
        <f t="shared" si="4"/>
        <v>20.109</v>
      </c>
      <c r="AJ8" s="5">
        <f t="shared" si="5"/>
        <v>20.112</v>
      </c>
      <c r="AK8" s="5">
        <f ca="1" t="shared" si="1"/>
        <v>55</v>
      </c>
      <c r="AL8" s="5" t="s">
        <v>59</v>
      </c>
      <c r="AM8" s="5">
        <f ca="1" t="shared" si="6"/>
        <v>50</v>
      </c>
      <c r="AQ8" s="5">
        <f t="shared" si="2"/>
        <v>20.08</v>
      </c>
      <c r="AR8" s="5">
        <f t="shared" si="7"/>
        <v>20.07</v>
      </c>
      <c r="AS8" s="5">
        <f t="shared" si="8"/>
        <v>20.09</v>
      </c>
      <c r="AT8" s="5">
        <f ca="1" t="shared" si="3"/>
        <v>0</v>
      </c>
      <c r="AU8" s="5" t="s">
        <v>60</v>
      </c>
      <c r="AV8" s="5">
        <f ca="1" t="shared" si="9"/>
        <v>0</v>
      </c>
    </row>
    <row r="9" customHeight="1" spans="1:49">
      <c r="A9" s="61" t="s">
        <v>61</v>
      </c>
      <c r="B9" s="91"/>
      <c r="C9" s="92" t="s">
        <v>62</v>
      </c>
      <c r="D9" s="93"/>
      <c r="E9" s="94"/>
      <c r="F9" s="95"/>
      <c r="G9" s="95"/>
      <c r="H9" s="96"/>
      <c r="I9" s="96"/>
      <c r="J9" s="97"/>
      <c r="K9" s="98" t="s">
        <v>63</v>
      </c>
      <c r="L9" s="99" t="s">
        <v>64</v>
      </c>
      <c r="M9" s="100"/>
      <c r="N9" s="100"/>
      <c r="O9" s="101"/>
      <c r="P9" s="13"/>
      <c r="Q9" s="102" t="s">
        <v>65</v>
      </c>
      <c r="R9" s="103"/>
      <c r="S9" s="103"/>
      <c r="T9" s="104">
        <f ca="1">IF(T57="","",AF44+AF45)</f>
        <v>0</v>
      </c>
      <c r="U9" s="105">
        <f ca="1">IF(T57="","",AF46+AF47)</f>
        <v>0</v>
      </c>
      <c r="V9" s="5">
        <v>5</v>
      </c>
      <c r="W9" s="5">
        <v>0.577</v>
      </c>
      <c r="X9" s="5">
        <v>0</v>
      </c>
      <c r="Y9" s="5">
        <v>2.114</v>
      </c>
      <c r="AH9" s="5">
        <f t="shared" si="0"/>
        <v>20.1135</v>
      </c>
      <c r="AI9" s="5">
        <f t="shared" si="4"/>
        <v>20.112</v>
      </c>
      <c r="AJ9" s="5">
        <f t="shared" si="5"/>
        <v>20.115</v>
      </c>
      <c r="AK9" s="5">
        <f ca="1" t="shared" si="1"/>
        <v>55</v>
      </c>
      <c r="AL9" s="5" t="s">
        <v>66</v>
      </c>
      <c r="AM9" s="5">
        <f ca="1" t="shared" si="6"/>
        <v>0</v>
      </c>
      <c r="AQ9" s="5">
        <f t="shared" si="2"/>
        <v>20.1</v>
      </c>
      <c r="AR9" s="5">
        <f t="shared" si="7"/>
        <v>20.09</v>
      </c>
      <c r="AS9" s="5">
        <f t="shared" si="8"/>
        <v>20.11</v>
      </c>
      <c r="AT9" s="5">
        <f ca="1" t="shared" si="3"/>
        <v>55</v>
      </c>
      <c r="AU9" s="5" t="s">
        <v>67</v>
      </c>
      <c r="AV9" s="5">
        <f ca="1" t="shared" si="9"/>
        <v>55</v>
      </c>
    </row>
    <row r="10" customHeight="1" spans="1:49">
      <c r="A10" s="106"/>
      <c r="B10" s="107"/>
      <c r="C10" s="108" t="s">
        <v>68</v>
      </c>
      <c r="D10" s="109">
        <v>20.1</v>
      </c>
      <c r="E10" s="110"/>
      <c r="F10" s="111"/>
      <c r="G10" s="112" t="s">
        <v>69</v>
      </c>
      <c r="H10" s="113"/>
      <c r="I10" s="109">
        <v>0.05</v>
      </c>
      <c r="J10" s="114"/>
      <c r="K10" s="111"/>
      <c r="L10" s="115" t="s">
        <v>70</v>
      </c>
      <c r="M10" s="109">
        <v>0.05</v>
      </c>
      <c r="N10" s="116"/>
      <c r="O10" s="117"/>
      <c r="P10" s="14"/>
      <c r="Q10" s="118" t="s">
        <v>71</v>
      </c>
      <c r="R10" s="119"/>
      <c r="S10" s="119"/>
      <c r="T10" s="120">
        <f>AF59</f>
        <v>7</v>
      </c>
      <c r="U10" s="121">
        <f>AF61</f>
        <v>2</v>
      </c>
      <c r="V10" s="5">
        <v>6</v>
      </c>
      <c r="W10" s="5">
        <v>0.483</v>
      </c>
      <c r="X10" s="5">
        <v>0</v>
      </c>
      <c r="Y10" s="5">
        <v>2.004</v>
      </c>
      <c r="AH10" s="5">
        <f t="shared" si="0"/>
        <v>20.1165</v>
      </c>
      <c r="AI10" s="5">
        <f t="shared" si="4"/>
        <v>20.115</v>
      </c>
      <c r="AJ10" s="5">
        <f t="shared" si="5"/>
        <v>20.118</v>
      </c>
      <c r="AK10" s="5">
        <f ca="1" t="shared" si="1"/>
        <v>55</v>
      </c>
      <c r="AL10" s="5" t="s">
        <v>72</v>
      </c>
      <c r="AM10" s="5">
        <f ca="1" t="shared" si="6"/>
        <v>0</v>
      </c>
      <c r="AQ10" s="5">
        <f t="shared" si="2"/>
        <v>20.12</v>
      </c>
      <c r="AR10" s="5">
        <f t="shared" si="7"/>
        <v>20.11</v>
      </c>
      <c r="AS10" s="5">
        <f t="shared" si="8"/>
        <v>20.13</v>
      </c>
      <c r="AT10" s="5">
        <f ca="1" t="shared" si="3"/>
        <v>125</v>
      </c>
      <c r="AU10" s="5" t="s">
        <v>73</v>
      </c>
      <c r="AV10" s="5">
        <f ca="1" t="shared" si="9"/>
        <v>70</v>
      </c>
    </row>
    <row r="11" customHeight="1" spans="1:49">
      <c r="A11" s="122"/>
      <c r="B11" s="123"/>
      <c r="C11" s="124" t="str">
        <f>IF($AA$3=1,"下限LSL",IF($AA$3=2,"MIN",""))</f>
        <v>下限LSL</v>
      </c>
      <c r="D11" s="125">
        <f>IF(OR($AA$3=1,$AA$3=2),D10-M10,"")</f>
        <v>20.05</v>
      </c>
      <c r="E11" s="126"/>
      <c r="F11" s="127"/>
      <c r="G11" s="128" t="str">
        <f>IF($AA$3=1,"名义值NOMINAL","")</f>
        <v>名义值NOMINAL</v>
      </c>
      <c r="H11" s="129"/>
      <c r="I11" s="125">
        <f>IF($AA$3=1,D10,"")</f>
        <v>20.1</v>
      </c>
      <c r="J11" s="126"/>
      <c r="K11" s="130"/>
      <c r="L11" s="129" t="str">
        <f>IF($AA$3=1,"上限USL",IF($AA$3=2,"","MAX"))</f>
        <v>上限USL</v>
      </c>
      <c r="M11" s="125">
        <f>IF(OR($AA$3=1,$AA$3=3),D10+I10,"")</f>
        <v>20.15</v>
      </c>
      <c r="N11" s="125"/>
      <c r="O11" s="131"/>
      <c r="P11" s="14"/>
      <c r="Q11" s="132" t="s">
        <v>74</v>
      </c>
      <c r="R11" s="133"/>
      <c r="S11" s="133"/>
      <c r="T11" s="134">
        <f>AF60</f>
        <v>2</v>
      </c>
      <c r="U11" s="135">
        <f>AF62</f>
        <v>7</v>
      </c>
      <c r="V11" s="5">
        <v>7</v>
      </c>
      <c r="W11" s="5">
        <v>0.419</v>
      </c>
      <c r="X11" s="5">
        <v>0.076</v>
      </c>
      <c r="Y11" s="5">
        <v>1.924</v>
      </c>
      <c r="AH11" s="5">
        <f t="shared" si="0"/>
        <v>20.1195</v>
      </c>
      <c r="AI11" s="5">
        <f t="shared" si="4"/>
        <v>20.118</v>
      </c>
      <c r="AJ11" s="5">
        <f t="shared" si="5"/>
        <v>20.121</v>
      </c>
      <c r="AK11" s="5">
        <f ca="1" t="shared" si="1"/>
        <v>122</v>
      </c>
      <c r="AL11" s="5" t="s">
        <v>75</v>
      </c>
      <c r="AM11" s="5">
        <f ca="1" t="shared" si="6"/>
        <v>67</v>
      </c>
      <c r="AQ11" s="5">
        <f t="shared" si="2"/>
        <v>20.14</v>
      </c>
      <c r="AR11" s="5">
        <f t="shared" si="7"/>
        <v>20.13</v>
      </c>
      <c r="AS11" s="5">
        <f t="shared" si="8"/>
        <v>20.15</v>
      </c>
      <c r="AT11" s="5">
        <f ca="1" t="shared" si="3"/>
        <v>125</v>
      </c>
      <c r="AU11" s="5" t="s">
        <v>76</v>
      </c>
      <c r="AV11" s="5">
        <f ca="1" t="shared" si="9"/>
        <v>0</v>
      </c>
    </row>
    <row r="12" spans="1:49">
      <c r="A12" s="136"/>
      <c r="B12" s="137"/>
      <c r="C12" s="137"/>
      <c r="D12" s="137"/>
      <c r="E12" s="137"/>
      <c r="F12" s="137"/>
      <c r="G12" s="137"/>
      <c r="H12" s="137"/>
      <c r="I12" s="137"/>
      <c r="J12" s="138"/>
      <c r="K12" s="138"/>
      <c r="L12" s="138"/>
      <c r="M12" s="138"/>
      <c r="N12" s="138"/>
      <c r="O12" s="138"/>
      <c r="P12" s="138"/>
      <c r="Q12" s="138"/>
      <c r="R12" s="138"/>
      <c r="S12" s="139"/>
      <c r="T12" s="140"/>
      <c r="U12" s="14"/>
      <c r="V12" s="5">
        <v>8</v>
      </c>
      <c r="W12" s="5">
        <v>0.373</v>
      </c>
      <c r="X12" s="5">
        <v>0.136</v>
      </c>
      <c r="Y12" s="5">
        <v>1.864</v>
      </c>
      <c r="AH12" s="5">
        <f t="shared" si="0"/>
        <v>20.1225</v>
      </c>
      <c r="AI12" s="5">
        <f t="shared" si="4"/>
        <v>20.121</v>
      </c>
      <c r="AJ12" s="5">
        <f t="shared" si="5"/>
        <v>20.124</v>
      </c>
      <c r="AK12" s="5">
        <f ca="1" t="shared" si="1"/>
        <v>122</v>
      </c>
      <c r="AL12" s="5" t="s">
        <v>77</v>
      </c>
      <c r="AM12" s="5">
        <f ca="1" t="shared" si="6"/>
        <v>0</v>
      </c>
      <c r="AQ12" s="5">
        <f t="shared" si="2"/>
        <v>20.16</v>
      </c>
      <c r="AR12" s="5">
        <f t="shared" si="7"/>
        <v>20.15</v>
      </c>
      <c r="AS12" s="5">
        <f t="shared" si="8"/>
        <v>20.17</v>
      </c>
      <c r="AT12" s="5">
        <f ca="1" t="shared" si="3"/>
        <v>125</v>
      </c>
      <c r="AU12" s="5" t="s">
        <v>78</v>
      </c>
      <c r="AV12" s="5">
        <f ca="1" t="shared" si="9"/>
        <v>0</v>
      </c>
    </row>
    <row r="13" spans="1:49">
      <c r="A13" s="136"/>
      <c r="B13" s="137"/>
      <c r="C13" s="137"/>
      <c r="D13" s="137"/>
      <c r="E13" s="137"/>
      <c r="F13" s="137"/>
      <c r="G13" s="137"/>
      <c r="H13" s="137"/>
      <c r="I13" s="137"/>
      <c r="J13" s="137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4"/>
      <c r="V13" s="5">
        <v>9</v>
      </c>
      <c r="W13" s="5">
        <v>0.337</v>
      </c>
      <c r="X13" s="5">
        <v>0.184</v>
      </c>
      <c r="Y13" s="5">
        <v>1.816</v>
      </c>
      <c r="AH13" s="5">
        <f t="shared" si="0"/>
        <v>20.1255</v>
      </c>
      <c r="AI13" s="5">
        <f t="shared" si="4"/>
        <v>20.124</v>
      </c>
      <c r="AJ13" s="5">
        <f t="shared" si="5"/>
        <v>20.127</v>
      </c>
      <c r="AK13" s="5">
        <f ca="1" t="shared" si="1"/>
        <v>122</v>
      </c>
      <c r="AL13" s="5" t="s">
        <v>79</v>
      </c>
      <c r="AM13" s="5">
        <f ca="1" t="shared" si="6"/>
        <v>0</v>
      </c>
      <c r="AQ13" s="5">
        <f t="shared" si="2"/>
        <v>20.18</v>
      </c>
      <c r="AR13" s="5">
        <f t="shared" si="7"/>
        <v>20.17</v>
      </c>
      <c r="AS13" s="5">
        <f t="shared" si="8"/>
        <v>20.19</v>
      </c>
      <c r="AT13" s="5">
        <f ca="1" t="shared" si="3"/>
        <v>125</v>
      </c>
      <c r="AU13" s="5" t="s">
        <v>80</v>
      </c>
      <c r="AV13" s="5">
        <f ca="1" t="shared" si="9"/>
        <v>0</v>
      </c>
    </row>
    <row r="14" spans="1:49">
      <c r="A14" s="141"/>
      <c r="B14" s="137"/>
      <c r="C14" s="137"/>
      <c r="D14" s="137"/>
      <c r="E14" s="137"/>
      <c r="F14" s="137"/>
      <c r="G14" s="137"/>
      <c r="H14" s="137"/>
      <c r="I14" s="137"/>
      <c r="J14" s="137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4"/>
      <c r="V14" s="5">
        <v>10</v>
      </c>
      <c r="W14" s="5">
        <v>0.308</v>
      </c>
      <c r="X14" s="5">
        <v>0.223</v>
      </c>
      <c r="Y14" s="5">
        <v>1.777</v>
      </c>
      <c r="AH14" s="5">
        <f t="shared" si="0"/>
        <v>20.1285</v>
      </c>
      <c r="AI14" s="5">
        <f t="shared" si="4"/>
        <v>20.127</v>
      </c>
      <c r="AJ14" s="5">
        <f t="shared" si="5"/>
        <v>20.13</v>
      </c>
      <c r="AK14" s="5">
        <f ca="1" t="shared" si="1"/>
        <v>125</v>
      </c>
      <c r="AL14" s="5" t="s">
        <v>81</v>
      </c>
      <c r="AM14" s="5">
        <f ca="1" t="shared" si="6"/>
        <v>3</v>
      </c>
      <c r="AQ14" s="5">
        <f t="shared" si="2"/>
        <v>20.2</v>
      </c>
      <c r="AR14" s="5">
        <f t="shared" si="7"/>
        <v>20.19</v>
      </c>
      <c r="AS14" s="5">
        <f t="shared" si="8"/>
        <v>20.21</v>
      </c>
      <c r="AT14" s="5">
        <f ca="1" t="shared" si="3"/>
        <v>125</v>
      </c>
      <c r="AU14" s="5" t="s">
        <v>82</v>
      </c>
      <c r="AV14" s="5">
        <f ca="1" t="shared" si="9"/>
        <v>0</v>
      </c>
    </row>
    <row r="15" spans="1:49">
      <c r="A15" s="142"/>
      <c r="B15" s="138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4"/>
      <c r="AM15" s="5">
        <f ca="1">SUM(AM4:AM13)</f>
        <v>122</v>
      </c>
      <c r="AV15" s="5">
        <f ca="1">SUM(AV4:AV13)</f>
        <v>125</v>
      </c>
    </row>
    <row r="16" spans="1:49">
      <c r="A16" s="142"/>
      <c r="B16" s="138"/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4"/>
      <c r="V16" s="5" t="s">
        <v>83</v>
      </c>
      <c r="W16" s="5">
        <f>IF($N$3=2,1.88,IF($N$3=3,1.023,IF($N$3=4,0.729,IF($N$3=5,0.577,""))))</f>
        <v>0.577</v>
      </c>
      <c r="X16" s="5">
        <f>IF($N$3&lt;6,0,"")</f>
        <v>0</v>
      </c>
      <c r="Y16" s="5">
        <f>IF($N$3=2,3.267,IF($N$3=3,2.574,IF($N$3=4,2.282,IF($N$3=5,2.114,""))))</f>
        <v>2.114</v>
      </c>
      <c r="AF16" s="5" t="s">
        <v>84</v>
      </c>
      <c r="AG16" s="5">
        <f>IF(T57="","",AVERAGE(B93:AB93))</f>
        <v>20.11544</v>
      </c>
      <c r="AI16" s="5" t="s">
        <v>85</v>
      </c>
      <c r="AJ16" s="5">
        <f>IF($T$57="","",$AG$16+W18*$AG$18)</f>
        <v>20.1230564</v>
      </c>
      <c r="AL16" s="5" t="s">
        <v>86</v>
      </c>
      <c r="AM16" s="5">
        <f>MIN($B$83:$AB$87)</f>
        <v>20.1</v>
      </c>
      <c r="AN16" s="5">
        <f>MIN(C56:AA60)</f>
        <v>0</v>
      </c>
      <c r="AQ16" s="5" t="s">
        <v>87</v>
      </c>
      <c r="AR16" s="5" t="s">
        <v>88</v>
      </c>
      <c r="AS16" s="5" t="s">
        <v>89</v>
      </c>
      <c r="AT16" s="5" t="s">
        <v>90</v>
      </c>
      <c r="AU16" s="5" t="s">
        <v>86</v>
      </c>
      <c r="AV16" s="5">
        <f>IF($AA$3=0,0,AS17)</f>
        <v>20.01</v>
      </c>
    </row>
    <row r="17" spans="1:56">
      <c r="A17" s="142"/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4"/>
      <c r="V17" s="5" t="s">
        <v>91</v>
      </c>
      <c r="W17" s="5" t="str">
        <f>IF($N$3=6,0.483,IF($N$3=7,0.419,IF($N$3=8,0.373,IF($N$3=9,0.337,IF($N$3=10,0.308,"")))))</f>
        <v/>
      </c>
      <c r="X17" s="5" t="str">
        <f>IF($N$3=6,0,IF($N$3=7,0.076,IF($N$3=8,0.136,IF($N$3=9,0.184,IF($N$3=10,0.223,"")))))</f>
        <v/>
      </c>
      <c r="Y17" s="5" t="str">
        <f>IF($N$3=6,2.004,IF($N$3=7,1.924,IF($N$3=8,1.864,IF($N$3=9,1.816,IF($N$3=10,1.777,"")))))</f>
        <v/>
      </c>
      <c r="AI17" s="5" t="s">
        <v>92</v>
      </c>
      <c r="AJ17" s="5">
        <f>IF($T$57="","",$AG$16-W18*$AG$18)</f>
        <v>20.1078236</v>
      </c>
      <c r="AL17" s="5" t="s">
        <v>93</v>
      </c>
      <c r="AM17" s="5">
        <f>MAX($B$83:$AB$87)</f>
        <v>20.13</v>
      </c>
      <c r="AN17" s="5">
        <f>MAX(C56:AA60)</f>
        <v>125</v>
      </c>
      <c r="AQ17" s="5">
        <f>IF(AA3=3,AM16*0.98,T58)</f>
        <v>20.05</v>
      </c>
      <c r="AR17" s="5">
        <f>IF(AA3=2,AM17*1.02,T60)</f>
        <v>20.15</v>
      </c>
      <c r="AS17" s="5">
        <f>AQ17-(2*(AR17-AQ17)/5)</f>
        <v>20.01</v>
      </c>
      <c r="AT17" s="5">
        <f>AR17+(2*(AR17-AQ17)/5)</f>
        <v>20.19</v>
      </c>
      <c r="AU17" s="5" t="s">
        <v>93</v>
      </c>
      <c r="AV17" s="5">
        <f>IF($AA$3=0,0,AT17)</f>
        <v>20.19</v>
      </c>
    </row>
    <row r="18" spans="1:56">
      <c r="A18" s="142"/>
      <c r="B18" s="138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4"/>
      <c r="V18" s="5" t="s">
        <v>94</v>
      </c>
      <c r="W18" s="5">
        <f>IF($N$3&lt;6,W16,W17)</f>
        <v>0.577</v>
      </c>
      <c r="X18" s="5">
        <f>IF($N$3&lt;6,X16,X17)</f>
        <v>0</v>
      </c>
      <c r="Y18" s="5">
        <f>IF($N$3&lt;6,Y16,Y17)</f>
        <v>2.114</v>
      </c>
      <c r="AE18" s="5" t="s">
        <v>95</v>
      </c>
      <c r="AF18" s="5" t="s">
        <v>96</v>
      </c>
      <c r="AG18" s="5">
        <f>IF(T57="","",AVERAGE(B94:AB94))</f>
        <v>0.0132000000000009</v>
      </c>
      <c r="AI18" s="5" t="s">
        <v>97</v>
      </c>
      <c r="AJ18" s="5">
        <f>IF($T$57="","",Y18*$AG$18)</f>
        <v>0.027904800000002</v>
      </c>
      <c r="AL18" s="5" t="s">
        <v>98</v>
      </c>
      <c r="AM18" s="5">
        <f>AM17-AM16</f>
        <v>0.0299999999999976</v>
      </c>
      <c r="AU18" s="5" t="s">
        <v>98</v>
      </c>
      <c r="AV18" s="5">
        <f>AV17-AV16</f>
        <v>0.18</v>
      </c>
    </row>
    <row r="19" spans="1:56">
      <c r="A19" s="142"/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4"/>
      <c r="AE19" s="5" t="s">
        <v>99</v>
      </c>
      <c r="AF19" s="5" t="s">
        <v>100</v>
      </c>
      <c r="AI19" s="5" t="s">
        <v>101</v>
      </c>
      <c r="AJ19" s="5">
        <f>IF($T$57="","",X18*$AG$18)</f>
        <v>0</v>
      </c>
      <c r="AL19" s="5" t="s">
        <v>102</v>
      </c>
      <c r="AM19" s="5">
        <f>AM18/10</f>
        <v>0.00299999999999976</v>
      </c>
      <c r="AU19" s="5" t="s">
        <v>102</v>
      </c>
      <c r="AV19" s="5">
        <f>AV18/9</f>
        <v>0.02</v>
      </c>
    </row>
    <row r="20" customHeight="1" spans="1:56">
      <c r="A20" s="142"/>
      <c r="B20" s="138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4"/>
      <c r="AE20" s="5" t="s">
        <v>85</v>
      </c>
      <c r="AF20" s="5">
        <f t="shared" ref="AF20:BD20" si="10">$AJ$16</f>
        <v>20.1230564</v>
      </c>
      <c r="AG20" s="5">
        <f t="shared" si="10"/>
        <v>20.1230564</v>
      </c>
      <c r="AH20" s="5">
        <f t="shared" si="10"/>
        <v>20.1230564</v>
      </c>
      <c r="AI20" s="5">
        <f t="shared" si="10"/>
        <v>20.1230564</v>
      </c>
      <c r="AJ20" s="5">
        <f t="shared" si="10"/>
        <v>20.1230564</v>
      </c>
      <c r="AK20" s="5">
        <f t="shared" si="10"/>
        <v>20.1230564</v>
      </c>
      <c r="AL20" s="5">
        <f t="shared" si="10"/>
        <v>20.1230564</v>
      </c>
      <c r="AM20" s="5">
        <f t="shared" si="10"/>
        <v>20.1230564</v>
      </c>
      <c r="AN20" s="5">
        <f t="shared" si="10"/>
        <v>20.1230564</v>
      </c>
      <c r="AO20" s="5">
        <f t="shared" si="10"/>
        <v>20.1230564</v>
      </c>
      <c r="AP20" s="5">
        <f t="shared" si="10"/>
        <v>20.1230564</v>
      </c>
      <c r="AQ20" s="5">
        <f t="shared" si="10"/>
        <v>20.1230564</v>
      </c>
      <c r="AR20" s="5">
        <f t="shared" si="10"/>
        <v>20.1230564</v>
      </c>
      <c r="AS20" s="5">
        <f t="shared" si="10"/>
        <v>20.1230564</v>
      </c>
      <c r="AT20" s="5">
        <f t="shared" si="10"/>
        <v>20.1230564</v>
      </c>
      <c r="AU20" s="5">
        <f t="shared" si="10"/>
        <v>20.1230564</v>
      </c>
      <c r="AV20" s="5">
        <f t="shared" si="10"/>
        <v>20.1230564</v>
      </c>
      <c r="AW20" s="5">
        <f t="shared" si="10"/>
        <v>20.1230564</v>
      </c>
      <c r="AX20" s="5">
        <f t="shared" si="10"/>
        <v>20.1230564</v>
      </c>
      <c r="AY20" s="5">
        <f t="shared" si="10"/>
        <v>20.1230564</v>
      </c>
      <c r="AZ20" s="5">
        <f t="shared" si="10"/>
        <v>20.1230564</v>
      </c>
      <c r="BA20" s="5">
        <f t="shared" si="10"/>
        <v>20.1230564</v>
      </c>
      <c r="BB20" s="5">
        <f t="shared" si="10"/>
        <v>20.1230564</v>
      </c>
      <c r="BC20" s="5">
        <f t="shared" si="10"/>
        <v>20.1230564</v>
      </c>
      <c r="BD20" s="5">
        <f t="shared" si="10"/>
        <v>20.1230564</v>
      </c>
    </row>
    <row r="21" customHeight="1" spans="1:56">
      <c r="A21" s="142"/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4"/>
      <c r="AE21" s="5" t="s">
        <v>84</v>
      </c>
      <c r="AF21" s="5">
        <f t="shared" ref="AF21:BD21" si="11">$AG$16</f>
        <v>20.11544</v>
      </c>
      <c r="AG21" s="5">
        <f t="shared" si="11"/>
        <v>20.11544</v>
      </c>
      <c r="AH21" s="5">
        <f t="shared" si="11"/>
        <v>20.11544</v>
      </c>
      <c r="AI21" s="5">
        <f t="shared" si="11"/>
        <v>20.11544</v>
      </c>
      <c r="AJ21" s="5">
        <f t="shared" si="11"/>
        <v>20.11544</v>
      </c>
      <c r="AK21" s="5">
        <f t="shared" si="11"/>
        <v>20.11544</v>
      </c>
      <c r="AL21" s="5">
        <f t="shared" si="11"/>
        <v>20.11544</v>
      </c>
      <c r="AM21" s="5">
        <f t="shared" si="11"/>
        <v>20.11544</v>
      </c>
      <c r="AN21" s="5">
        <f t="shared" si="11"/>
        <v>20.11544</v>
      </c>
      <c r="AO21" s="5">
        <f t="shared" si="11"/>
        <v>20.11544</v>
      </c>
      <c r="AP21" s="5">
        <f t="shared" si="11"/>
        <v>20.11544</v>
      </c>
      <c r="AQ21" s="5">
        <f t="shared" si="11"/>
        <v>20.11544</v>
      </c>
      <c r="AR21" s="5">
        <f t="shared" si="11"/>
        <v>20.11544</v>
      </c>
      <c r="AS21" s="5">
        <f t="shared" si="11"/>
        <v>20.11544</v>
      </c>
      <c r="AT21" s="5">
        <f t="shared" si="11"/>
        <v>20.11544</v>
      </c>
      <c r="AU21" s="5">
        <f t="shared" si="11"/>
        <v>20.11544</v>
      </c>
      <c r="AV21" s="5">
        <f t="shared" si="11"/>
        <v>20.11544</v>
      </c>
      <c r="AW21" s="5">
        <f t="shared" si="11"/>
        <v>20.11544</v>
      </c>
      <c r="AX21" s="5">
        <f t="shared" si="11"/>
        <v>20.11544</v>
      </c>
      <c r="AY21" s="5">
        <f t="shared" si="11"/>
        <v>20.11544</v>
      </c>
      <c r="AZ21" s="5">
        <f t="shared" si="11"/>
        <v>20.11544</v>
      </c>
      <c r="BA21" s="5">
        <f t="shared" si="11"/>
        <v>20.11544</v>
      </c>
      <c r="BB21" s="5">
        <f t="shared" si="11"/>
        <v>20.11544</v>
      </c>
      <c r="BC21" s="5">
        <f t="shared" si="11"/>
        <v>20.11544</v>
      </c>
      <c r="BD21" s="5">
        <f t="shared" si="11"/>
        <v>20.11544</v>
      </c>
    </row>
    <row r="22" customHeight="1" spans="1:56">
      <c r="A22" s="142"/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4"/>
      <c r="AE22" s="5" t="s">
        <v>92</v>
      </c>
      <c r="AF22" s="5">
        <f t="shared" ref="AF22:BD22" si="12">$AJ$17</f>
        <v>20.1078236</v>
      </c>
      <c r="AG22" s="5">
        <f t="shared" si="12"/>
        <v>20.1078236</v>
      </c>
      <c r="AH22" s="5">
        <f t="shared" si="12"/>
        <v>20.1078236</v>
      </c>
      <c r="AI22" s="5">
        <f t="shared" si="12"/>
        <v>20.1078236</v>
      </c>
      <c r="AJ22" s="5">
        <f t="shared" si="12"/>
        <v>20.1078236</v>
      </c>
      <c r="AK22" s="5">
        <f t="shared" si="12"/>
        <v>20.1078236</v>
      </c>
      <c r="AL22" s="5">
        <f t="shared" si="12"/>
        <v>20.1078236</v>
      </c>
      <c r="AM22" s="5">
        <f t="shared" si="12"/>
        <v>20.1078236</v>
      </c>
      <c r="AN22" s="5">
        <f t="shared" si="12"/>
        <v>20.1078236</v>
      </c>
      <c r="AO22" s="5">
        <f t="shared" si="12"/>
        <v>20.1078236</v>
      </c>
      <c r="AP22" s="5">
        <f t="shared" si="12"/>
        <v>20.1078236</v>
      </c>
      <c r="AQ22" s="5">
        <f t="shared" si="12"/>
        <v>20.1078236</v>
      </c>
      <c r="AR22" s="5">
        <f t="shared" si="12"/>
        <v>20.1078236</v>
      </c>
      <c r="AS22" s="5">
        <f t="shared" si="12"/>
        <v>20.1078236</v>
      </c>
      <c r="AT22" s="5">
        <f t="shared" si="12"/>
        <v>20.1078236</v>
      </c>
      <c r="AU22" s="5">
        <f t="shared" si="12"/>
        <v>20.1078236</v>
      </c>
      <c r="AV22" s="5">
        <f t="shared" si="12"/>
        <v>20.1078236</v>
      </c>
      <c r="AW22" s="5">
        <f t="shared" si="12"/>
        <v>20.1078236</v>
      </c>
      <c r="AX22" s="5">
        <f t="shared" si="12"/>
        <v>20.1078236</v>
      </c>
      <c r="AY22" s="5">
        <f t="shared" si="12"/>
        <v>20.1078236</v>
      </c>
      <c r="AZ22" s="5">
        <f t="shared" si="12"/>
        <v>20.1078236</v>
      </c>
      <c r="BA22" s="5">
        <f t="shared" si="12"/>
        <v>20.1078236</v>
      </c>
      <c r="BB22" s="5">
        <f t="shared" si="12"/>
        <v>20.1078236</v>
      </c>
      <c r="BC22" s="5">
        <f t="shared" si="12"/>
        <v>20.1078236</v>
      </c>
      <c r="BD22" s="5">
        <f t="shared" si="12"/>
        <v>20.1078236</v>
      </c>
    </row>
    <row r="23" customHeight="1" spans="1:56">
      <c r="A23" s="142"/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4"/>
      <c r="AE23" s="5" t="s">
        <v>97</v>
      </c>
      <c r="AF23" s="5">
        <f t="shared" ref="AF23:BD23" si="13">$AJ$18</f>
        <v>0.027904800000002</v>
      </c>
      <c r="AG23" s="5">
        <f t="shared" si="13"/>
        <v>0.027904800000002</v>
      </c>
      <c r="AH23" s="5">
        <f t="shared" si="13"/>
        <v>0.027904800000002</v>
      </c>
      <c r="AI23" s="5">
        <f t="shared" si="13"/>
        <v>0.027904800000002</v>
      </c>
      <c r="AJ23" s="5">
        <f t="shared" si="13"/>
        <v>0.027904800000002</v>
      </c>
      <c r="AK23" s="5">
        <f t="shared" si="13"/>
        <v>0.027904800000002</v>
      </c>
      <c r="AL23" s="5">
        <f t="shared" si="13"/>
        <v>0.027904800000002</v>
      </c>
      <c r="AM23" s="5">
        <f t="shared" si="13"/>
        <v>0.027904800000002</v>
      </c>
      <c r="AN23" s="5">
        <f t="shared" si="13"/>
        <v>0.027904800000002</v>
      </c>
      <c r="AO23" s="5">
        <f t="shared" si="13"/>
        <v>0.027904800000002</v>
      </c>
      <c r="AP23" s="5">
        <f t="shared" si="13"/>
        <v>0.027904800000002</v>
      </c>
      <c r="AQ23" s="5">
        <f t="shared" si="13"/>
        <v>0.027904800000002</v>
      </c>
      <c r="AR23" s="5">
        <f t="shared" si="13"/>
        <v>0.027904800000002</v>
      </c>
      <c r="AS23" s="5">
        <f t="shared" si="13"/>
        <v>0.027904800000002</v>
      </c>
      <c r="AT23" s="5">
        <f t="shared" si="13"/>
        <v>0.027904800000002</v>
      </c>
      <c r="AU23" s="5">
        <f t="shared" si="13"/>
        <v>0.027904800000002</v>
      </c>
      <c r="AV23" s="5">
        <f t="shared" si="13"/>
        <v>0.027904800000002</v>
      </c>
      <c r="AW23" s="5">
        <f t="shared" si="13"/>
        <v>0.027904800000002</v>
      </c>
      <c r="AX23" s="5">
        <f t="shared" si="13"/>
        <v>0.027904800000002</v>
      </c>
      <c r="AY23" s="5">
        <f t="shared" si="13"/>
        <v>0.027904800000002</v>
      </c>
      <c r="AZ23" s="5">
        <f t="shared" si="13"/>
        <v>0.027904800000002</v>
      </c>
      <c r="BA23" s="5">
        <f t="shared" si="13"/>
        <v>0.027904800000002</v>
      </c>
      <c r="BB23" s="5">
        <f t="shared" si="13"/>
        <v>0.027904800000002</v>
      </c>
      <c r="BC23" s="5">
        <f t="shared" si="13"/>
        <v>0.027904800000002</v>
      </c>
      <c r="BD23" s="5">
        <f t="shared" si="13"/>
        <v>0.027904800000002</v>
      </c>
    </row>
    <row r="24" customHeight="1" spans="1:56">
      <c r="A24" s="142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4"/>
      <c r="AE24" s="5" t="s">
        <v>96</v>
      </c>
      <c r="AF24" s="5">
        <f>IF(SUM(B83:B87)=0,"",$AG$18)</f>
        <v>0.0132000000000009</v>
      </c>
      <c r="AG24" s="5">
        <f t="shared" ref="AG24:BD24" si="14">$AG$18</f>
        <v>0.0132000000000009</v>
      </c>
      <c r="AH24" s="5">
        <f t="shared" si="14"/>
        <v>0.0132000000000009</v>
      </c>
      <c r="AI24" s="5">
        <f t="shared" si="14"/>
        <v>0.0132000000000009</v>
      </c>
      <c r="AJ24" s="5">
        <f t="shared" si="14"/>
        <v>0.0132000000000009</v>
      </c>
      <c r="AK24" s="5">
        <f t="shared" si="14"/>
        <v>0.0132000000000009</v>
      </c>
      <c r="AL24" s="5">
        <f t="shared" si="14"/>
        <v>0.0132000000000009</v>
      </c>
      <c r="AM24" s="5">
        <f t="shared" si="14"/>
        <v>0.0132000000000009</v>
      </c>
      <c r="AN24" s="5">
        <f t="shared" si="14"/>
        <v>0.0132000000000009</v>
      </c>
      <c r="AO24" s="5">
        <f t="shared" si="14"/>
        <v>0.0132000000000009</v>
      </c>
      <c r="AP24" s="5">
        <f t="shared" si="14"/>
        <v>0.0132000000000009</v>
      </c>
      <c r="AQ24" s="5">
        <f t="shared" si="14"/>
        <v>0.0132000000000009</v>
      </c>
      <c r="AR24" s="5">
        <f t="shared" si="14"/>
        <v>0.0132000000000009</v>
      </c>
      <c r="AS24" s="5">
        <f t="shared" si="14"/>
        <v>0.0132000000000009</v>
      </c>
      <c r="AT24" s="5">
        <f t="shared" si="14"/>
        <v>0.0132000000000009</v>
      </c>
      <c r="AU24" s="5">
        <f t="shared" si="14"/>
        <v>0.0132000000000009</v>
      </c>
      <c r="AV24" s="5">
        <f t="shared" si="14"/>
        <v>0.0132000000000009</v>
      </c>
      <c r="AW24" s="5">
        <f t="shared" si="14"/>
        <v>0.0132000000000009</v>
      </c>
      <c r="AX24" s="5">
        <f t="shared" si="14"/>
        <v>0.0132000000000009</v>
      </c>
      <c r="AY24" s="5">
        <f t="shared" si="14"/>
        <v>0.0132000000000009</v>
      </c>
      <c r="AZ24" s="5">
        <f t="shared" si="14"/>
        <v>0.0132000000000009</v>
      </c>
      <c r="BA24" s="5">
        <f t="shared" si="14"/>
        <v>0.0132000000000009</v>
      </c>
      <c r="BB24" s="5">
        <f t="shared" si="14"/>
        <v>0.0132000000000009</v>
      </c>
      <c r="BC24" s="5">
        <f t="shared" si="14"/>
        <v>0.0132000000000009</v>
      </c>
      <c r="BD24" s="5">
        <f t="shared" si="14"/>
        <v>0.0132000000000009</v>
      </c>
    </row>
    <row r="25" customHeight="1" spans="1:56">
      <c r="A25" s="143"/>
      <c r="B25" s="144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5"/>
      <c r="AE25" s="5" t="s">
        <v>101</v>
      </c>
      <c r="AF25" s="5">
        <f>IF(SUM(B83:B87)=0,"",$AJ$19)</f>
        <v>0</v>
      </c>
      <c r="AG25" s="5">
        <f t="shared" ref="AG25:BD25" si="15">$AJ$19</f>
        <v>0</v>
      </c>
      <c r="AH25" s="5">
        <f t="shared" si="15"/>
        <v>0</v>
      </c>
      <c r="AI25" s="5">
        <f t="shared" si="15"/>
        <v>0</v>
      </c>
      <c r="AJ25" s="5">
        <f t="shared" si="15"/>
        <v>0</v>
      </c>
      <c r="AK25" s="5">
        <f t="shared" si="15"/>
        <v>0</v>
      </c>
      <c r="AL25" s="5">
        <f t="shared" si="15"/>
        <v>0</v>
      </c>
      <c r="AM25" s="5">
        <f t="shared" si="15"/>
        <v>0</v>
      </c>
      <c r="AN25" s="5">
        <f t="shared" si="15"/>
        <v>0</v>
      </c>
      <c r="AO25" s="5">
        <f t="shared" si="15"/>
        <v>0</v>
      </c>
      <c r="AP25" s="5">
        <f t="shared" si="15"/>
        <v>0</v>
      </c>
      <c r="AQ25" s="5">
        <f t="shared" si="15"/>
        <v>0</v>
      </c>
      <c r="AR25" s="5">
        <f t="shared" si="15"/>
        <v>0</v>
      </c>
      <c r="AS25" s="5">
        <f t="shared" si="15"/>
        <v>0</v>
      </c>
      <c r="AT25" s="5">
        <f t="shared" si="15"/>
        <v>0</v>
      </c>
      <c r="AU25" s="5">
        <f t="shared" si="15"/>
        <v>0</v>
      </c>
      <c r="AV25" s="5">
        <f t="shared" si="15"/>
        <v>0</v>
      </c>
      <c r="AW25" s="5">
        <f t="shared" si="15"/>
        <v>0</v>
      </c>
      <c r="AX25" s="5">
        <f t="shared" si="15"/>
        <v>0</v>
      </c>
      <c r="AY25" s="5">
        <f t="shared" si="15"/>
        <v>0</v>
      </c>
      <c r="AZ25" s="5">
        <f t="shared" si="15"/>
        <v>0</v>
      </c>
      <c r="BA25" s="5">
        <f t="shared" si="15"/>
        <v>0</v>
      </c>
      <c r="BB25" s="5">
        <f t="shared" si="15"/>
        <v>0</v>
      </c>
      <c r="BC25" s="5">
        <f t="shared" si="15"/>
        <v>0</v>
      </c>
      <c r="BD25" s="5">
        <f t="shared" si="15"/>
        <v>0</v>
      </c>
    </row>
    <row r="26" customHeight="1" spans="1:56">
      <c r="A26" s="142"/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4"/>
      <c r="AE26" s="5" t="s">
        <v>103</v>
      </c>
      <c r="AG26" s="5">
        <f t="shared" ref="AG26:AY26" si="16">IF(C93&gt;B93,1,0)</f>
        <v>1</v>
      </c>
      <c r="AH26" s="5">
        <f t="shared" si="16"/>
        <v>0</v>
      </c>
      <c r="AI26" s="5">
        <f t="shared" si="16"/>
        <v>0</v>
      </c>
      <c r="AJ26" s="5">
        <f t="shared" si="16"/>
        <v>1</v>
      </c>
      <c r="AK26" s="5">
        <f t="shared" si="16"/>
        <v>0</v>
      </c>
      <c r="AL26" s="5">
        <f t="shared" si="16"/>
        <v>0</v>
      </c>
      <c r="AM26" s="5">
        <f t="shared" si="16"/>
        <v>0</v>
      </c>
      <c r="AN26" s="5">
        <f t="shared" si="16"/>
        <v>1</v>
      </c>
      <c r="AO26" s="5">
        <f t="shared" si="16"/>
        <v>0</v>
      </c>
      <c r="AP26" s="5">
        <f t="shared" si="16"/>
        <v>0</v>
      </c>
      <c r="AQ26" s="5">
        <f t="shared" si="16"/>
        <v>0</v>
      </c>
      <c r="AR26" s="5">
        <f t="shared" si="16"/>
        <v>0</v>
      </c>
      <c r="AS26" s="5">
        <f t="shared" si="16"/>
        <v>1</v>
      </c>
      <c r="AT26" s="5">
        <f t="shared" si="16"/>
        <v>0</v>
      </c>
      <c r="AU26" s="5">
        <f t="shared" si="16"/>
        <v>0</v>
      </c>
      <c r="AV26" s="5">
        <f t="shared" si="16"/>
        <v>1</v>
      </c>
      <c r="AW26" s="5">
        <f t="shared" si="16"/>
        <v>0</v>
      </c>
      <c r="AX26" s="5">
        <f t="shared" si="16"/>
        <v>0</v>
      </c>
      <c r="AY26" s="5">
        <f t="shared" si="16"/>
        <v>0</v>
      </c>
      <c r="AZ26" s="5">
        <f>IF(B106&gt;U93,1,0)</f>
        <v>0</v>
      </c>
      <c r="BA26" s="5">
        <f>IF(C106&gt;B106,1,0)</f>
        <v>1</v>
      </c>
      <c r="BB26" s="5">
        <f>IF(D106&gt;C106,1,0)</f>
        <v>0</v>
      </c>
      <c r="BC26" s="5">
        <f>IF(E106&gt;D106,1,0)</f>
        <v>1</v>
      </c>
      <c r="BD26" s="5">
        <f>IF(F106&gt;E106,1,0)</f>
        <v>0</v>
      </c>
    </row>
    <row r="27" customHeight="1" spans="1:56">
      <c r="A27" s="142"/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4"/>
      <c r="AE27" s="5" t="s">
        <v>104</v>
      </c>
      <c r="AG27" s="5">
        <f>IF(AG26=1,AF27+AG26,0)</f>
        <v>1</v>
      </c>
      <c r="AH27" s="5">
        <f t="shared" ref="AH27:AY27" si="17">IF(AND(AH26=1,D93&gt;C93),AG27+AH26,0)</f>
        <v>0</v>
      </c>
      <c r="AI27" s="5">
        <f t="shared" si="17"/>
        <v>0</v>
      </c>
      <c r="AJ27" s="5">
        <f t="shared" si="17"/>
        <v>1</v>
      </c>
      <c r="AK27" s="5">
        <f t="shared" si="17"/>
        <v>0</v>
      </c>
      <c r="AL27" s="5">
        <f t="shared" si="17"/>
        <v>0</v>
      </c>
      <c r="AM27" s="5">
        <f t="shared" si="17"/>
        <v>0</v>
      </c>
      <c r="AN27" s="5">
        <f t="shared" si="17"/>
        <v>1</v>
      </c>
      <c r="AO27" s="5">
        <f t="shared" si="17"/>
        <v>0</v>
      </c>
      <c r="AP27" s="5">
        <f t="shared" si="17"/>
        <v>0</v>
      </c>
      <c r="AQ27" s="5">
        <f t="shared" si="17"/>
        <v>0</v>
      </c>
      <c r="AR27" s="5">
        <f t="shared" si="17"/>
        <v>0</v>
      </c>
      <c r="AS27" s="5">
        <f t="shared" si="17"/>
        <v>1</v>
      </c>
      <c r="AT27" s="5">
        <f t="shared" si="17"/>
        <v>0</v>
      </c>
      <c r="AU27" s="5">
        <f t="shared" si="17"/>
        <v>0</v>
      </c>
      <c r="AV27" s="5">
        <f t="shared" si="17"/>
        <v>1</v>
      </c>
      <c r="AW27" s="5">
        <f t="shared" si="17"/>
        <v>0</v>
      </c>
      <c r="AX27" s="5">
        <f t="shared" si="17"/>
        <v>0</v>
      </c>
      <c r="AY27" s="5">
        <f t="shared" si="17"/>
        <v>0</v>
      </c>
      <c r="AZ27" s="5">
        <f>IF(AND(AZ26=1,B106&gt;U93),AY27+AZ26,0)</f>
        <v>0</v>
      </c>
      <c r="BA27" s="5">
        <f>IF(AND(BA26=1,C106&gt;B106),AZ27+BA26,0)</f>
        <v>1</v>
      </c>
      <c r="BB27" s="5">
        <f>IF(AND(BB26=1,D106&gt;C106),BA27+BB26,0)</f>
        <v>0</v>
      </c>
      <c r="BC27" s="5">
        <f>IF(AND(BC26=1,E106&gt;D106),BB27+BC26,0)</f>
        <v>1</v>
      </c>
      <c r="BD27" s="5">
        <f>IF(AND(BD26=1,F106&gt;E106),BC27+BD26,0)</f>
        <v>0</v>
      </c>
    </row>
    <row r="28" customHeight="1" spans="1:56">
      <c r="A28" s="142"/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4"/>
      <c r="AE28" s="5" t="s">
        <v>105</v>
      </c>
      <c r="AG28" s="5">
        <f>IF(AG26=0,AF28+1,0)</f>
        <v>0</v>
      </c>
      <c r="AH28" s="5">
        <f t="shared" ref="AH28:AY28" si="18">IF(AND(AH26=0,D93&lt;C93),AG28+1,0)</f>
        <v>1</v>
      </c>
      <c r="AI28" s="5">
        <f t="shared" si="18"/>
        <v>2</v>
      </c>
      <c r="AJ28" s="5">
        <f t="shared" si="18"/>
        <v>0</v>
      </c>
      <c r="AK28" s="5">
        <f t="shared" si="18"/>
        <v>0</v>
      </c>
      <c r="AL28" s="5">
        <f t="shared" si="18"/>
        <v>1</v>
      </c>
      <c r="AM28" s="5">
        <f t="shared" si="18"/>
        <v>2</v>
      </c>
      <c r="AN28" s="5">
        <f t="shared" si="18"/>
        <v>0</v>
      </c>
      <c r="AO28" s="5">
        <f t="shared" si="18"/>
        <v>1</v>
      </c>
      <c r="AP28" s="5">
        <f t="shared" si="18"/>
        <v>0</v>
      </c>
      <c r="AQ28" s="5">
        <f t="shared" si="18"/>
        <v>0</v>
      </c>
      <c r="AR28" s="5">
        <f t="shared" si="18"/>
        <v>0</v>
      </c>
      <c r="AS28" s="5">
        <f t="shared" si="18"/>
        <v>0</v>
      </c>
      <c r="AT28" s="5">
        <f t="shared" si="18"/>
        <v>1</v>
      </c>
      <c r="AU28" s="5">
        <f t="shared" si="18"/>
        <v>2</v>
      </c>
      <c r="AV28" s="5">
        <f t="shared" si="18"/>
        <v>0</v>
      </c>
      <c r="AW28" s="5">
        <f t="shared" si="18"/>
        <v>1</v>
      </c>
      <c r="AX28" s="5">
        <f t="shared" si="18"/>
        <v>0</v>
      </c>
      <c r="AY28" s="5">
        <f t="shared" si="18"/>
        <v>0</v>
      </c>
      <c r="AZ28" s="5">
        <f>IF(AND(AZ26=0,B106&lt;U93),AY28+1,0)</f>
        <v>1</v>
      </c>
      <c r="BA28" s="5">
        <f>IF(AND(BA26=0,C106&lt;B106),AZ28+1,0)</f>
        <v>0</v>
      </c>
      <c r="BB28" s="5">
        <f>IF(AND(BB26=0,D106&lt;C106),BA28+1,0)</f>
        <v>1</v>
      </c>
      <c r="BC28" s="5">
        <f>IF(AND(BC26=0,E106&lt;D106),BB28+1,0)</f>
        <v>0</v>
      </c>
      <c r="BD28" s="5">
        <f>IF(AND(BD26=0,F106&lt;E106),BC28+1,0)</f>
        <v>1</v>
      </c>
    </row>
    <row r="29" customHeight="1" spans="1:56">
      <c r="A29" s="142"/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4"/>
      <c r="AE29" s="5" t="s">
        <v>106</v>
      </c>
      <c r="AF29" s="5">
        <f>MAX(AG27:BD27)+1</f>
        <v>2</v>
      </c>
      <c r="AG29" s="5" t="s">
        <v>107</v>
      </c>
    </row>
    <row r="30" customHeight="1" spans="1:56">
      <c r="A30" s="142"/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4"/>
      <c r="AE30" s="5" t="s">
        <v>108</v>
      </c>
      <c r="AF30" s="5">
        <f>MAX(AG28:BD28)+1</f>
        <v>3</v>
      </c>
      <c r="AG30" s="5" t="s">
        <v>109</v>
      </c>
    </row>
    <row r="31" customHeight="1" spans="1:56">
      <c r="A31" s="142"/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4"/>
      <c r="AE31" s="5" t="s">
        <v>110</v>
      </c>
      <c r="AF31" s="5">
        <f ca="1">COUNTIF($AG$27:$BD$27,"="&amp;INDIRECT(AG29)-1)</f>
        <v>7</v>
      </c>
    </row>
    <row r="32" customHeight="1" spans="1:56">
      <c r="A32" s="142"/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4"/>
      <c r="AE32" s="5" t="s">
        <v>111</v>
      </c>
      <c r="AF32" s="5">
        <f ca="1">COUNTIF($AG$28:$BD$28,"="&amp;INDIRECT(AG30)-1)</f>
        <v>3</v>
      </c>
    </row>
    <row r="33" customHeight="1" spans="1:73">
      <c r="A33" s="142"/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4"/>
      <c r="AE33" s="5" t="s">
        <v>112</v>
      </c>
      <c r="AG33" s="5">
        <f t="shared" ref="AG33:AY33" si="19">IF(C94&gt;B94,1,0)</f>
        <v>0</v>
      </c>
      <c r="AH33" s="5">
        <f t="shared" si="19"/>
        <v>0</v>
      </c>
      <c r="AI33" s="5">
        <f t="shared" si="19"/>
        <v>0</v>
      </c>
      <c r="AJ33" s="5">
        <f t="shared" si="19"/>
        <v>0</v>
      </c>
      <c r="AK33" s="5">
        <f t="shared" si="19"/>
        <v>0</v>
      </c>
      <c r="AL33" s="5">
        <f t="shared" si="19"/>
        <v>0</v>
      </c>
      <c r="AM33" s="5">
        <f t="shared" si="19"/>
        <v>1</v>
      </c>
      <c r="AN33" s="5">
        <f t="shared" si="19"/>
        <v>0</v>
      </c>
      <c r="AO33" s="5">
        <f t="shared" si="19"/>
        <v>0</v>
      </c>
      <c r="AP33" s="5">
        <f t="shared" si="19"/>
        <v>0</v>
      </c>
      <c r="AQ33" s="5">
        <f t="shared" si="19"/>
        <v>1</v>
      </c>
      <c r="AR33" s="5">
        <f t="shared" si="19"/>
        <v>0</v>
      </c>
      <c r="AS33" s="5">
        <f t="shared" si="19"/>
        <v>1</v>
      </c>
      <c r="AT33" s="5">
        <f t="shared" si="19"/>
        <v>0</v>
      </c>
      <c r="AU33" s="5">
        <f t="shared" si="19"/>
        <v>1</v>
      </c>
      <c r="AV33" s="5">
        <f t="shared" si="19"/>
        <v>0</v>
      </c>
      <c r="AW33" s="5">
        <f t="shared" si="19"/>
        <v>1</v>
      </c>
      <c r="AX33" s="5">
        <f t="shared" si="19"/>
        <v>0</v>
      </c>
      <c r="AY33" s="5">
        <f t="shared" si="19"/>
        <v>1</v>
      </c>
      <c r="AZ33" s="5">
        <f>IF(B107&gt;U94,1,0)</f>
        <v>0</v>
      </c>
      <c r="BA33" s="5">
        <f>IF(C107&gt;B107,1,0)</f>
        <v>0</v>
      </c>
      <c r="BB33" s="5">
        <f>IF(D107&gt;C107,1,0)</f>
        <v>0</v>
      </c>
      <c r="BC33" s="5">
        <f>IF(E107&gt;D107,1,0)</f>
        <v>0</v>
      </c>
      <c r="BD33" s="5">
        <f>IF(F107&gt;E107,1,0)</f>
        <v>0</v>
      </c>
    </row>
    <row r="34" customHeight="1" spans="1:73">
      <c r="A34" s="142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4"/>
      <c r="AE34" s="5" t="s">
        <v>113</v>
      </c>
      <c r="AG34" s="5">
        <f>IF(AG33=1,AF34+AG33,0)</f>
        <v>0</v>
      </c>
      <c r="AH34" s="5">
        <f t="shared" ref="AH34:AY34" si="20">IF(AND(AH33=1,D94&gt;C94),AG34+AH33,0)</f>
        <v>0</v>
      </c>
      <c r="AI34" s="5">
        <f t="shared" si="20"/>
        <v>0</v>
      </c>
      <c r="AJ34" s="5">
        <f t="shared" si="20"/>
        <v>0</v>
      </c>
      <c r="AK34" s="5">
        <f t="shared" si="20"/>
        <v>0</v>
      </c>
      <c r="AL34" s="5">
        <f t="shared" si="20"/>
        <v>0</v>
      </c>
      <c r="AM34" s="5">
        <f t="shared" si="20"/>
        <v>1</v>
      </c>
      <c r="AN34" s="5">
        <f t="shared" si="20"/>
        <v>0</v>
      </c>
      <c r="AO34" s="5">
        <f t="shared" si="20"/>
        <v>0</v>
      </c>
      <c r="AP34" s="5">
        <f t="shared" si="20"/>
        <v>0</v>
      </c>
      <c r="AQ34" s="5">
        <f t="shared" si="20"/>
        <v>1</v>
      </c>
      <c r="AR34" s="5">
        <f t="shared" si="20"/>
        <v>0</v>
      </c>
      <c r="AS34" s="5">
        <f t="shared" si="20"/>
        <v>1</v>
      </c>
      <c r="AT34" s="5">
        <f t="shared" si="20"/>
        <v>0</v>
      </c>
      <c r="AU34" s="5">
        <f t="shared" si="20"/>
        <v>1</v>
      </c>
      <c r="AV34" s="5">
        <f t="shared" si="20"/>
        <v>0</v>
      </c>
      <c r="AW34" s="5">
        <f t="shared" si="20"/>
        <v>1</v>
      </c>
      <c r="AX34" s="5">
        <f t="shared" si="20"/>
        <v>0</v>
      </c>
      <c r="AY34" s="5">
        <f t="shared" si="20"/>
        <v>1</v>
      </c>
      <c r="AZ34" s="5">
        <f>IF(AND(AZ33=1,B107&gt;U94),AY34+AZ33,0)</f>
        <v>0</v>
      </c>
      <c r="BA34" s="5">
        <f>IF(AND(BA33=1,C107&gt;B107),AZ34+BA33,0)</f>
        <v>0</v>
      </c>
      <c r="BB34" s="5">
        <f>IF(AND(BB33=1,D107&gt;C107),BA34+BB33,0)</f>
        <v>0</v>
      </c>
      <c r="BC34" s="5">
        <f>IF(AND(BC33=1,E107&gt;D107),BB34+BC33,0)</f>
        <v>0</v>
      </c>
      <c r="BD34" s="5">
        <f>IF(AND(BD33=1,F107&gt;E107),BC34+BD33,0)</f>
        <v>0</v>
      </c>
    </row>
    <row r="35" customHeight="1" spans="1:73">
      <c r="A35" s="142"/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4"/>
      <c r="AE35" s="5" t="s">
        <v>114</v>
      </c>
      <c r="AG35" s="5">
        <f>IF(AG33=0,AF35+1,0)</f>
        <v>1</v>
      </c>
      <c r="AH35" s="5">
        <f t="shared" ref="AH35:AY35" si="21">IF(AND(AH33=0,D94&lt;C94),AG35+1,0)</f>
        <v>0</v>
      </c>
      <c r="AI35" s="5">
        <f t="shared" si="21"/>
        <v>0</v>
      </c>
      <c r="AJ35" s="5">
        <f t="shared" si="21"/>
        <v>0</v>
      </c>
      <c r="AK35" s="5">
        <f t="shared" si="21"/>
        <v>0</v>
      </c>
      <c r="AL35" s="5">
        <f t="shared" si="21"/>
        <v>0</v>
      </c>
      <c r="AM35" s="5">
        <f t="shared" si="21"/>
        <v>0</v>
      </c>
      <c r="AN35" s="5">
        <f t="shared" si="21"/>
        <v>0</v>
      </c>
      <c r="AO35" s="5">
        <f t="shared" si="21"/>
        <v>1</v>
      </c>
      <c r="AP35" s="5">
        <f t="shared" si="21"/>
        <v>0</v>
      </c>
      <c r="AQ35" s="5">
        <f t="shared" si="21"/>
        <v>0</v>
      </c>
      <c r="AR35" s="5">
        <f t="shared" si="21"/>
        <v>1</v>
      </c>
      <c r="AS35" s="5">
        <f t="shared" si="21"/>
        <v>0</v>
      </c>
      <c r="AT35" s="5">
        <f t="shared" si="21"/>
        <v>1</v>
      </c>
      <c r="AU35" s="5">
        <f t="shared" si="21"/>
        <v>0</v>
      </c>
      <c r="AV35" s="5">
        <f t="shared" si="21"/>
        <v>1</v>
      </c>
      <c r="AW35" s="5">
        <f t="shared" si="21"/>
        <v>0</v>
      </c>
      <c r="AX35" s="5">
        <f t="shared" si="21"/>
        <v>1</v>
      </c>
      <c r="AY35" s="5">
        <f t="shared" si="21"/>
        <v>0</v>
      </c>
      <c r="AZ35" s="5">
        <f>IF(AND(AZ33=0,B107&lt;U94),AY35+1,0)</f>
        <v>0</v>
      </c>
      <c r="BA35" s="5">
        <f>IF(AND(BA33=0,C107&lt;B107),AZ35+1,0)</f>
        <v>1</v>
      </c>
      <c r="BB35" s="5">
        <f>IF(AND(BB33=0,D107&lt;C107),BA35+1,0)</f>
        <v>0</v>
      </c>
      <c r="BC35" s="5">
        <f>IF(AND(BC33=0,E107&lt;D107),BB35+1,0)</f>
        <v>0</v>
      </c>
      <c r="BD35" s="5">
        <f>IF(AND(BD33=0,F107&lt;E107),BC35+1,0)</f>
        <v>0</v>
      </c>
    </row>
    <row r="36" spans="1:73">
      <c r="A36" s="142"/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4"/>
      <c r="AE36" s="5" t="s">
        <v>115</v>
      </c>
      <c r="AF36" s="5">
        <f>MAX(AG34:BD34)+1</f>
        <v>2</v>
      </c>
      <c r="AG36" s="5" t="s">
        <v>116</v>
      </c>
    </row>
    <row r="37" spans="1:73">
      <c r="A37" s="142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4"/>
      <c r="AE37" s="5" t="s">
        <v>117</v>
      </c>
      <c r="AF37" s="5">
        <f>MAX(AG35:BD35)+1</f>
        <v>2</v>
      </c>
      <c r="AG37" s="5" t="s">
        <v>118</v>
      </c>
    </row>
    <row r="38" spans="1:73">
      <c r="A38" s="142"/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4"/>
      <c r="AE38" s="5" t="s">
        <v>119</v>
      </c>
      <c r="AF38" s="5">
        <f ca="1">COUNTIF($AG$34:$BD$34,"="&amp;INDIRECT(AG36)-1)</f>
        <v>6</v>
      </c>
    </row>
    <row r="39" spans="1:73">
      <c r="A39" s="142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4"/>
      <c r="AE39" s="5" t="s">
        <v>120</v>
      </c>
      <c r="AF39" s="5">
        <f ca="1">COUNTIF($AG$35:$BD$35,"="&amp;INDIRECT(AG37)-1)</f>
        <v>7</v>
      </c>
    </row>
    <row r="40" spans="1:73">
      <c r="A40" s="142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4"/>
      <c r="AE40" s="5" t="s">
        <v>121</v>
      </c>
      <c r="AF40" s="5">
        <v>1</v>
      </c>
      <c r="AG40" s="5">
        <f t="shared" ref="AG40:BD40" si="22">1+AF40</f>
        <v>2</v>
      </c>
      <c r="AH40" s="5">
        <f t="shared" si="22"/>
        <v>3</v>
      </c>
      <c r="AI40" s="5">
        <f t="shared" si="22"/>
        <v>4</v>
      </c>
      <c r="AJ40" s="5">
        <f t="shared" si="22"/>
        <v>5</v>
      </c>
      <c r="AK40" s="5">
        <f t="shared" si="22"/>
        <v>6</v>
      </c>
      <c r="AL40" s="5">
        <f t="shared" si="22"/>
        <v>7</v>
      </c>
      <c r="AM40" s="5">
        <f t="shared" si="22"/>
        <v>8</v>
      </c>
      <c r="AN40" s="5">
        <f t="shared" si="22"/>
        <v>9</v>
      </c>
      <c r="AO40" s="5">
        <f t="shared" si="22"/>
        <v>10</v>
      </c>
      <c r="AP40" s="5">
        <f t="shared" si="22"/>
        <v>11</v>
      </c>
      <c r="AQ40" s="5">
        <f t="shared" si="22"/>
        <v>12</v>
      </c>
      <c r="AR40" s="5">
        <f t="shared" si="22"/>
        <v>13</v>
      </c>
      <c r="AS40" s="5">
        <f t="shared" si="22"/>
        <v>14</v>
      </c>
      <c r="AT40" s="5">
        <f t="shared" si="22"/>
        <v>15</v>
      </c>
      <c r="AU40" s="5">
        <f t="shared" si="22"/>
        <v>16</v>
      </c>
      <c r="AV40" s="5">
        <f t="shared" si="22"/>
        <v>17</v>
      </c>
      <c r="AW40" s="5">
        <f t="shared" si="22"/>
        <v>18</v>
      </c>
      <c r="AX40" s="5">
        <f t="shared" si="22"/>
        <v>19</v>
      </c>
      <c r="AY40" s="5">
        <f t="shared" si="22"/>
        <v>20</v>
      </c>
      <c r="AZ40" s="5">
        <f t="shared" si="22"/>
        <v>21</v>
      </c>
      <c r="BA40" s="5">
        <f t="shared" si="22"/>
        <v>22</v>
      </c>
      <c r="BB40" s="5">
        <f t="shared" si="22"/>
        <v>23</v>
      </c>
      <c r="BC40" s="5">
        <f t="shared" si="22"/>
        <v>24</v>
      </c>
      <c r="BD40" s="5">
        <f t="shared" si="22"/>
        <v>25</v>
      </c>
    </row>
    <row r="41" spans="1:73">
      <c r="A41" s="142"/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4"/>
    </row>
    <row r="42" spans="1:73">
      <c r="A42" s="142"/>
      <c r="B42" s="138"/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4"/>
    </row>
    <row r="43" s="1" customFormat="1" spans="1:73">
      <c r="A43" s="142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46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</row>
    <row r="44" s="2" customFormat="1" spans="1:73">
      <c r="A44" s="142"/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47"/>
      <c r="V44" s="5"/>
      <c r="W44" s="5"/>
      <c r="X44" s="5"/>
      <c r="Y44" s="5"/>
      <c r="Z44" s="5"/>
      <c r="AA44" s="5"/>
      <c r="AB44" s="5"/>
      <c r="AC44" s="5"/>
      <c r="AD44" s="5"/>
      <c r="AE44" s="5" t="s">
        <v>122</v>
      </c>
      <c r="AF44" s="5">
        <f ca="1">COUNTIF(B93:AB93,"&gt;"&amp;INDIRECT(AG44))</f>
        <v>0</v>
      </c>
      <c r="AG44" s="5" t="s">
        <v>123</v>
      </c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148"/>
      <c r="BL44" s="148"/>
      <c r="BM44" s="148"/>
      <c r="BN44" s="148"/>
      <c r="BO44" s="148"/>
      <c r="BP44" s="148"/>
      <c r="BQ44" s="148"/>
      <c r="BR44" s="148"/>
      <c r="BS44" s="148"/>
      <c r="BT44" s="148"/>
      <c r="BU44" s="148"/>
    </row>
    <row r="45" s="2" customFormat="1" spans="1:73">
      <c r="A45" s="142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47"/>
      <c r="V45" s="5"/>
      <c r="W45" s="5"/>
      <c r="X45" s="5"/>
      <c r="Y45" s="5"/>
      <c r="Z45" s="5"/>
      <c r="AA45" s="5"/>
      <c r="AB45" s="5"/>
      <c r="AC45" s="5"/>
      <c r="AD45" s="5"/>
      <c r="AE45" s="5" t="s">
        <v>124</v>
      </c>
      <c r="AF45" s="5">
        <f ca="1">COUNTIF(B93:AB93,"&lt;"&amp;INDIRECT(AG45))</f>
        <v>0</v>
      </c>
      <c r="AG45" s="5" t="s">
        <v>125</v>
      </c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148"/>
      <c r="BL45" s="148"/>
      <c r="BM45" s="148"/>
      <c r="BN45" s="148"/>
      <c r="BO45" s="148"/>
      <c r="BP45" s="148"/>
      <c r="BQ45" s="148"/>
      <c r="BR45" s="148"/>
      <c r="BS45" s="148"/>
      <c r="BT45" s="148"/>
      <c r="BU45" s="148"/>
    </row>
    <row r="46" s="2" customFormat="1" spans="1:73">
      <c r="A46" s="142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47"/>
      <c r="V46" s="5"/>
      <c r="W46" s="5"/>
      <c r="X46" s="5"/>
      <c r="Y46" s="5"/>
      <c r="Z46" s="5"/>
      <c r="AA46" s="5"/>
      <c r="AB46" s="5"/>
      <c r="AC46" s="5"/>
      <c r="AD46" s="5"/>
      <c r="AE46" s="5" t="s">
        <v>126</v>
      </c>
      <c r="AF46" s="5">
        <f ca="1">COUNTIF(B94:AB94,"&gt;"&amp;INDIRECT(AG46))</f>
        <v>0</v>
      </c>
      <c r="AG46" s="5" t="s">
        <v>127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148"/>
      <c r="BL46" s="148"/>
      <c r="BM46" s="148"/>
      <c r="BN46" s="148"/>
      <c r="BO46" s="148"/>
      <c r="BP46" s="148"/>
      <c r="BQ46" s="148"/>
      <c r="BR46" s="148"/>
      <c r="BS46" s="148"/>
      <c r="BT46" s="148"/>
      <c r="BU46" s="148"/>
    </row>
    <row r="47" s="2" customFormat="1" spans="1:73">
      <c r="A47" s="142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47"/>
      <c r="V47" s="5"/>
      <c r="W47" s="5"/>
      <c r="X47" s="5"/>
      <c r="Y47" s="5"/>
      <c r="Z47" s="5"/>
      <c r="AA47" s="5"/>
      <c r="AB47" s="5"/>
      <c r="AC47" s="5"/>
      <c r="AD47" s="5"/>
      <c r="AE47" s="5" t="s">
        <v>128</v>
      </c>
      <c r="AF47" s="5">
        <f ca="1">COUNTIF(B94:AB94,"&lt;"&amp;INDIRECT(AG47))</f>
        <v>0</v>
      </c>
      <c r="AG47" s="5" t="s">
        <v>129</v>
      </c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148"/>
      <c r="BL47" s="148"/>
      <c r="BM47" s="148"/>
      <c r="BN47" s="148"/>
      <c r="BO47" s="148"/>
      <c r="BP47" s="148"/>
      <c r="BQ47" s="148"/>
      <c r="BR47" s="148"/>
      <c r="BS47" s="148"/>
      <c r="BT47" s="148"/>
      <c r="BU47" s="148"/>
    </row>
    <row r="48" s="2" customFormat="1" spans="1:73">
      <c r="A48" s="142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47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148"/>
      <c r="BL48" s="148"/>
      <c r="BM48" s="148"/>
      <c r="BN48" s="148"/>
      <c r="BO48" s="148"/>
      <c r="BP48" s="148"/>
      <c r="BQ48" s="148"/>
      <c r="BR48" s="148"/>
      <c r="BS48" s="148"/>
      <c r="BT48" s="148"/>
      <c r="BU48" s="148"/>
    </row>
    <row r="49" s="2" customFormat="1" spans="1:73">
      <c r="A49" s="142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47"/>
      <c r="V49" s="5"/>
      <c r="W49" s="5"/>
      <c r="X49" s="5"/>
      <c r="Y49" s="5"/>
      <c r="Z49" s="5"/>
      <c r="AA49" s="5"/>
      <c r="AB49" s="5"/>
      <c r="AC49" s="5"/>
      <c r="AD49" s="5"/>
      <c r="AE49" s="5" t="s">
        <v>130</v>
      </c>
      <c r="AF49" s="5">
        <f t="shared" ref="AF49:AY49" si="23">IF(SUM(B83:B87)=0,"",IF(B93&gt;$AG$16,1,0))</f>
        <v>0</v>
      </c>
      <c r="AG49" s="5">
        <f t="shared" si="23"/>
        <v>1</v>
      </c>
      <c r="AH49" s="5">
        <f t="shared" si="23"/>
        <v>1</v>
      </c>
      <c r="AI49" s="5">
        <f t="shared" si="23"/>
        <v>0</v>
      </c>
      <c r="AJ49" s="5">
        <f t="shared" si="23"/>
        <v>1</v>
      </c>
      <c r="AK49" s="5">
        <f t="shared" si="23"/>
        <v>1</v>
      </c>
      <c r="AL49" s="5">
        <f t="shared" si="23"/>
        <v>0</v>
      </c>
      <c r="AM49" s="5">
        <f t="shared" si="23"/>
        <v>0</v>
      </c>
      <c r="AN49" s="5">
        <f t="shared" si="23"/>
        <v>1</v>
      </c>
      <c r="AO49" s="5">
        <f t="shared" si="23"/>
        <v>1</v>
      </c>
      <c r="AP49" s="5">
        <f t="shared" si="23"/>
        <v>1</v>
      </c>
      <c r="AQ49" s="5">
        <f t="shared" si="23"/>
        <v>1</v>
      </c>
      <c r="AR49" s="5">
        <f t="shared" si="23"/>
        <v>1</v>
      </c>
      <c r="AS49" s="5">
        <f t="shared" si="23"/>
        <v>1</v>
      </c>
      <c r="AT49" s="5">
        <f t="shared" si="23"/>
        <v>1</v>
      </c>
      <c r="AU49" s="5">
        <f t="shared" si="23"/>
        <v>0</v>
      </c>
      <c r="AV49" s="5">
        <f t="shared" si="23"/>
        <v>1</v>
      </c>
      <c r="AW49" s="5">
        <f t="shared" si="23"/>
        <v>1</v>
      </c>
      <c r="AX49" s="5">
        <f t="shared" si="23"/>
        <v>1</v>
      </c>
      <c r="AY49" s="5">
        <f t="shared" si="23"/>
        <v>1</v>
      </c>
      <c r="AZ49" s="5">
        <f>IF(SUM(B96:B100)=0,"",IF(B106&gt;$AG$16,1,0))</f>
        <v>0</v>
      </c>
      <c r="BA49" s="5">
        <f>IF(SUM(C96:C100)=0,"",IF(C106&gt;$AG$16,1,0))</f>
        <v>1</v>
      </c>
      <c r="BB49" s="5">
        <f>IF(SUM(D96:D100)=0,"",IF(D106&gt;$AG$16,1,0))</f>
        <v>0</v>
      </c>
      <c r="BC49" s="5">
        <f>IF(SUM(E96:E100)=0,"",IF(E106&gt;$AG$16,1,0))</f>
        <v>1</v>
      </c>
      <c r="BD49" s="5">
        <f>IF(SUM(F96:F100)=0,"",IF(F106&gt;$AG$16,1,0))</f>
        <v>0</v>
      </c>
      <c r="BE49" s="5"/>
      <c r="BF49" s="5"/>
      <c r="BG49" s="5"/>
      <c r="BH49" s="5"/>
      <c r="BI49" s="5"/>
      <c r="BJ49" s="5"/>
      <c r="BK49" s="148"/>
      <c r="BL49" s="148"/>
      <c r="BM49" s="148"/>
      <c r="BN49" s="148"/>
      <c r="BO49" s="148"/>
      <c r="BP49" s="148"/>
      <c r="BQ49" s="148"/>
      <c r="BR49" s="148"/>
      <c r="BS49" s="148"/>
      <c r="BT49" s="148"/>
      <c r="BU49" s="148"/>
    </row>
    <row r="50" s="2" customFormat="1" spans="1:73">
      <c r="A50" s="142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47"/>
      <c r="V50" s="5"/>
      <c r="W50" s="5"/>
      <c r="X50" s="5"/>
      <c r="Y50" s="5"/>
      <c r="Z50" s="5"/>
      <c r="AA50" s="5"/>
      <c r="AB50" s="5"/>
      <c r="AC50" s="5"/>
      <c r="AD50" s="5"/>
      <c r="AE50" s="5" t="s">
        <v>131</v>
      </c>
      <c r="AF50" s="5">
        <f t="shared" ref="AF50:AY50" si="24">IF(SUM(B83:B87)=0,"",IF(B93&lt;$AG$16,1,0))</f>
        <v>1</v>
      </c>
      <c r="AG50" s="5">
        <f t="shared" si="24"/>
        <v>0</v>
      </c>
      <c r="AH50" s="5">
        <f t="shared" si="24"/>
        <v>0</v>
      </c>
      <c r="AI50" s="5">
        <f t="shared" si="24"/>
        <v>1</v>
      </c>
      <c r="AJ50" s="5">
        <f t="shared" si="24"/>
        <v>0</v>
      </c>
      <c r="AK50" s="5">
        <f t="shared" si="24"/>
        <v>0</v>
      </c>
      <c r="AL50" s="5">
        <f t="shared" si="24"/>
        <v>1</v>
      </c>
      <c r="AM50" s="5">
        <f t="shared" si="24"/>
        <v>1</v>
      </c>
      <c r="AN50" s="5">
        <f t="shared" si="24"/>
        <v>0</v>
      </c>
      <c r="AO50" s="5">
        <f t="shared" si="24"/>
        <v>0</v>
      </c>
      <c r="AP50" s="5">
        <f t="shared" si="24"/>
        <v>0</v>
      </c>
      <c r="AQ50" s="5">
        <f t="shared" si="24"/>
        <v>0</v>
      </c>
      <c r="AR50" s="5">
        <f t="shared" si="24"/>
        <v>0</v>
      </c>
      <c r="AS50" s="5">
        <f t="shared" si="24"/>
        <v>0</v>
      </c>
      <c r="AT50" s="5">
        <f t="shared" si="24"/>
        <v>0</v>
      </c>
      <c r="AU50" s="5">
        <f t="shared" si="24"/>
        <v>1</v>
      </c>
      <c r="AV50" s="5">
        <f t="shared" si="24"/>
        <v>0</v>
      </c>
      <c r="AW50" s="5">
        <f t="shared" si="24"/>
        <v>0</v>
      </c>
      <c r="AX50" s="5">
        <f t="shared" si="24"/>
        <v>0</v>
      </c>
      <c r="AY50" s="5">
        <f t="shared" si="24"/>
        <v>0</v>
      </c>
      <c r="AZ50" s="5">
        <f>IF(SUM(B96:B100)=0,"",IF(B106&lt;$AG$16,1,0))</f>
        <v>1</v>
      </c>
      <c r="BA50" s="5">
        <f>IF(SUM(C96:C100)=0,"",IF(C106&lt;$AG$16,1,0))</f>
        <v>0</v>
      </c>
      <c r="BB50" s="5">
        <f>IF(SUM(D96:D100)=0,"",IF(D106&lt;$AG$16,1,0))</f>
        <v>1</v>
      </c>
      <c r="BC50" s="5">
        <f>IF(SUM(E96:E100)=0,"",IF(E106&lt;$AG$16,1,0))</f>
        <v>0</v>
      </c>
      <c r="BD50" s="5">
        <f>IF(SUM(F96:F100)=0,"",IF(F106&lt;$AG$16,1,0))</f>
        <v>1</v>
      </c>
      <c r="BE50" s="5"/>
      <c r="BF50" s="5"/>
      <c r="BG50" s="5"/>
      <c r="BH50" s="5"/>
      <c r="BI50" s="5"/>
      <c r="BJ50" s="5"/>
      <c r="BK50" s="148"/>
      <c r="BL50" s="148"/>
      <c r="BM50" s="148"/>
      <c r="BN50" s="148"/>
      <c r="BO50" s="148"/>
      <c r="BP50" s="148"/>
      <c r="BQ50" s="148"/>
      <c r="BR50" s="148"/>
      <c r="BS50" s="148"/>
      <c r="BT50" s="148"/>
      <c r="BU50" s="148"/>
    </row>
    <row r="51" s="2" customFormat="1" spans="1:73">
      <c r="A51" s="142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47"/>
      <c r="V51" s="5"/>
      <c r="W51" s="5"/>
      <c r="X51" s="5"/>
      <c r="Y51" s="5"/>
      <c r="Z51" s="5"/>
      <c r="AA51" s="5"/>
      <c r="AB51" s="5"/>
      <c r="AC51" s="5"/>
      <c r="AD51" s="5"/>
      <c r="AE51" s="5" t="s">
        <v>132</v>
      </c>
      <c r="AF51" s="5">
        <f t="shared" ref="AF51:AY51" si="25">IF(SUM(B83:B87)=0,"",IF(B94&gt;$AG$18,1,0))</f>
        <v>0</v>
      </c>
      <c r="AG51" s="5">
        <f t="shared" si="25"/>
        <v>0</v>
      </c>
      <c r="AH51" s="5">
        <f t="shared" si="25"/>
        <v>0</v>
      </c>
      <c r="AI51" s="5">
        <f t="shared" si="25"/>
        <v>0</v>
      </c>
      <c r="AJ51" s="5">
        <f t="shared" si="25"/>
        <v>0</v>
      </c>
      <c r="AK51" s="5">
        <f t="shared" si="25"/>
        <v>0</v>
      </c>
      <c r="AL51" s="5">
        <f t="shared" si="25"/>
        <v>0</v>
      </c>
      <c r="AM51" s="5">
        <f t="shared" si="25"/>
        <v>1</v>
      </c>
      <c r="AN51" s="5">
        <f t="shared" si="25"/>
        <v>1</v>
      </c>
      <c r="AO51" s="5">
        <f t="shared" si="25"/>
        <v>0</v>
      </c>
      <c r="AP51" s="5">
        <f t="shared" si="25"/>
        <v>0</v>
      </c>
      <c r="AQ51" s="5">
        <f t="shared" si="25"/>
        <v>1</v>
      </c>
      <c r="AR51" s="5">
        <f t="shared" si="25"/>
        <v>0</v>
      </c>
      <c r="AS51" s="5">
        <f t="shared" si="25"/>
        <v>1</v>
      </c>
      <c r="AT51" s="5">
        <f t="shared" si="25"/>
        <v>0</v>
      </c>
      <c r="AU51" s="5">
        <f t="shared" si="25"/>
        <v>1</v>
      </c>
      <c r="AV51" s="5">
        <f t="shared" si="25"/>
        <v>0</v>
      </c>
      <c r="AW51" s="5">
        <f t="shared" si="25"/>
        <v>1</v>
      </c>
      <c r="AX51" s="5">
        <f t="shared" si="25"/>
        <v>0</v>
      </c>
      <c r="AY51" s="5">
        <f t="shared" si="25"/>
        <v>1</v>
      </c>
      <c r="AZ51" s="5">
        <f>IF(SUM(B96:B100)=0,"",IF(B107&gt;$AG$18,1,0))</f>
        <v>1</v>
      </c>
      <c r="BA51" s="5">
        <f>IF(SUM(C96:C100)=0,"",IF(C107&gt;$AG$18,1,0))</f>
        <v>0</v>
      </c>
      <c r="BB51" s="5">
        <f>IF(SUM(D96:D100)=0,"",IF(D107&gt;$AG$18,1,0))</f>
        <v>0</v>
      </c>
      <c r="BC51" s="5">
        <f>IF(SUM(E96:E100)=0,"",IF(E107&gt;$AG$18,1,0))</f>
        <v>0</v>
      </c>
      <c r="BD51" s="5">
        <f>IF(SUM(F96:F100)=0,"",IF(F107&gt;$AG$18,1,0))</f>
        <v>0</v>
      </c>
      <c r="BE51" s="5"/>
      <c r="BF51" s="5"/>
      <c r="BG51" s="5"/>
      <c r="BH51" s="5"/>
      <c r="BI51" s="5"/>
      <c r="BJ51" s="5"/>
      <c r="BK51" s="148"/>
      <c r="BL51" s="148"/>
      <c r="BM51" s="148"/>
      <c r="BN51" s="148"/>
      <c r="BO51" s="148"/>
      <c r="BP51" s="148"/>
      <c r="BQ51" s="148"/>
      <c r="BR51" s="148"/>
      <c r="BS51" s="148"/>
      <c r="BT51" s="148"/>
      <c r="BU51" s="148"/>
    </row>
    <row r="52" s="2" customFormat="1" spans="1:73">
      <c r="A52" s="142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47"/>
      <c r="V52" s="5"/>
      <c r="W52" s="5"/>
      <c r="X52" s="5"/>
      <c r="Y52" s="5"/>
      <c r="Z52" s="5"/>
      <c r="AA52" s="5"/>
      <c r="AB52" s="5"/>
      <c r="AC52" s="5"/>
      <c r="AD52" s="5"/>
      <c r="AE52" s="5" t="s">
        <v>133</v>
      </c>
      <c r="AF52" s="5">
        <f t="shared" ref="AF52:AY52" si="26">IF(SUM(B83:B87)=0,"",IF(B94&lt;$AG$18,1,0))</f>
        <v>1</v>
      </c>
      <c r="AG52" s="5">
        <f t="shared" si="26"/>
        <v>1</v>
      </c>
      <c r="AH52" s="5">
        <f t="shared" si="26"/>
        <v>1</v>
      </c>
      <c r="AI52" s="5">
        <f t="shared" si="26"/>
        <v>1</v>
      </c>
      <c r="AJ52" s="5">
        <f t="shared" si="26"/>
        <v>1</v>
      </c>
      <c r="AK52" s="5">
        <f t="shared" si="26"/>
        <v>1</v>
      </c>
      <c r="AL52" s="5">
        <f t="shared" si="26"/>
        <v>1</v>
      </c>
      <c r="AM52" s="5">
        <f t="shared" si="26"/>
        <v>0</v>
      </c>
      <c r="AN52" s="5">
        <f t="shared" si="26"/>
        <v>0</v>
      </c>
      <c r="AO52" s="5">
        <f t="shared" si="26"/>
        <v>1</v>
      </c>
      <c r="AP52" s="5">
        <f t="shared" si="26"/>
        <v>1</v>
      </c>
      <c r="AQ52" s="5">
        <f t="shared" si="26"/>
        <v>0</v>
      </c>
      <c r="AR52" s="5">
        <f t="shared" si="26"/>
        <v>1</v>
      </c>
      <c r="AS52" s="5">
        <f t="shared" si="26"/>
        <v>0</v>
      </c>
      <c r="AT52" s="5">
        <f t="shared" si="26"/>
        <v>1</v>
      </c>
      <c r="AU52" s="5">
        <f t="shared" si="26"/>
        <v>0</v>
      </c>
      <c r="AV52" s="5">
        <f t="shared" si="26"/>
        <v>1</v>
      </c>
      <c r="AW52" s="5">
        <f t="shared" si="26"/>
        <v>0</v>
      </c>
      <c r="AX52" s="5">
        <f t="shared" si="26"/>
        <v>1</v>
      </c>
      <c r="AY52" s="5">
        <f t="shared" si="26"/>
        <v>0</v>
      </c>
      <c r="AZ52" s="5">
        <f>IF(SUM(B96:B100)=0,"",IF(B107&lt;$AG$18,1,0))</f>
        <v>0</v>
      </c>
      <c r="BA52" s="5">
        <f>IF(SUM(C96:C100)=0,"",IF(C107&lt;$AG$18,1,0))</f>
        <v>1</v>
      </c>
      <c r="BB52" s="5">
        <f>IF(SUM(D96:D100)=0,"",IF(D107&lt;$AG$18,1,0))</f>
        <v>1</v>
      </c>
      <c r="BC52" s="5">
        <f>IF(SUM(E96:E100)=0,"",IF(E107&lt;$AG$18,1,0))</f>
        <v>1</v>
      </c>
      <c r="BD52" s="5">
        <f>IF(SUM(F96:F100)=0,"",IF(F107&lt;$AG$18,1,0))</f>
        <v>1</v>
      </c>
      <c r="BE52" s="5"/>
      <c r="BF52" s="5"/>
      <c r="BG52" s="5"/>
      <c r="BH52" s="5"/>
      <c r="BI52" s="5"/>
      <c r="BJ52" s="5"/>
      <c r="BK52" s="148"/>
      <c r="BL52" s="148"/>
      <c r="BM52" s="148"/>
      <c r="BN52" s="148"/>
      <c r="BO52" s="148"/>
      <c r="BP52" s="148"/>
      <c r="BQ52" s="148"/>
      <c r="BR52" s="148"/>
      <c r="BS52" s="148"/>
      <c r="BT52" s="148"/>
      <c r="BU52" s="148"/>
    </row>
    <row r="53" s="2" customFormat="1" spans="1:73">
      <c r="A53" s="142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47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148"/>
      <c r="BL53" s="148"/>
      <c r="BM53" s="148"/>
      <c r="BN53" s="148"/>
      <c r="BO53" s="148"/>
      <c r="BP53" s="148"/>
      <c r="BQ53" s="148"/>
      <c r="BR53" s="148"/>
      <c r="BS53" s="148"/>
      <c r="BT53" s="148"/>
      <c r="BU53" s="148"/>
    </row>
    <row r="54" s="2" customFormat="1" spans="1:73">
      <c r="A54" s="149"/>
      <c r="B54" s="150"/>
      <c r="C54" s="150"/>
      <c r="D54" s="150"/>
      <c r="E54" s="150"/>
      <c r="F54" s="150"/>
      <c r="G54" s="150"/>
      <c r="H54" s="150"/>
      <c r="I54" s="150"/>
      <c r="J54" s="150"/>
      <c r="K54" s="150"/>
      <c r="L54" s="150"/>
      <c r="M54" s="150"/>
      <c r="N54" s="150"/>
      <c r="O54" s="150"/>
      <c r="P54" s="150"/>
      <c r="Q54" s="150"/>
      <c r="R54" s="150"/>
      <c r="S54" s="150"/>
      <c r="T54" s="150"/>
      <c r="U54" s="147"/>
      <c r="V54" s="5"/>
      <c r="W54" s="5"/>
      <c r="X54" s="5"/>
      <c r="Y54" s="5"/>
      <c r="Z54" s="5"/>
      <c r="AA54" s="5"/>
      <c r="AB54" s="5"/>
      <c r="AC54" s="5"/>
      <c r="AD54" s="5"/>
      <c r="AE54" s="5" t="s">
        <v>134</v>
      </c>
      <c r="AF54" s="5">
        <f>IF(AF49=1,1,0)</f>
        <v>0</v>
      </c>
      <c r="AG54" s="5">
        <f t="shared" ref="AG54:BD57" si="27">IF(AND(AG49=1,AF49=1),AF54+1,1)</f>
        <v>1</v>
      </c>
      <c r="AH54" s="5">
        <f t="shared" si="27"/>
        <v>2</v>
      </c>
      <c r="AI54" s="5">
        <f t="shared" si="27"/>
        <v>1</v>
      </c>
      <c r="AJ54" s="5">
        <f t="shared" si="27"/>
        <v>1</v>
      </c>
      <c r="AK54" s="5">
        <f t="shared" si="27"/>
        <v>2</v>
      </c>
      <c r="AL54" s="5">
        <f t="shared" si="27"/>
        <v>1</v>
      </c>
      <c r="AM54" s="5">
        <f t="shared" si="27"/>
        <v>1</v>
      </c>
      <c r="AN54" s="5">
        <f t="shared" si="27"/>
        <v>1</v>
      </c>
      <c r="AO54" s="5">
        <f t="shared" si="27"/>
        <v>2</v>
      </c>
      <c r="AP54" s="5">
        <f t="shared" si="27"/>
        <v>3</v>
      </c>
      <c r="AQ54" s="5">
        <f t="shared" si="27"/>
        <v>4</v>
      </c>
      <c r="AR54" s="5">
        <f t="shared" si="27"/>
        <v>5</v>
      </c>
      <c r="AS54" s="5">
        <f t="shared" si="27"/>
        <v>6</v>
      </c>
      <c r="AT54" s="5">
        <f t="shared" si="27"/>
        <v>7</v>
      </c>
      <c r="AU54" s="5">
        <f t="shared" si="27"/>
        <v>1</v>
      </c>
      <c r="AV54" s="5">
        <f t="shared" si="27"/>
        <v>1</v>
      </c>
      <c r="AW54" s="5">
        <f t="shared" si="27"/>
        <v>2</v>
      </c>
      <c r="AX54" s="5">
        <f t="shared" si="27"/>
        <v>3</v>
      </c>
      <c r="AY54" s="5">
        <f t="shared" si="27"/>
        <v>4</v>
      </c>
      <c r="AZ54" s="5">
        <f t="shared" si="27"/>
        <v>1</v>
      </c>
      <c r="BA54" s="5">
        <f t="shared" si="27"/>
        <v>1</v>
      </c>
      <c r="BB54" s="5">
        <f t="shared" si="27"/>
        <v>1</v>
      </c>
      <c r="BC54" s="5">
        <f t="shared" si="27"/>
        <v>1</v>
      </c>
      <c r="BD54" s="5">
        <f t="shared" si="27"/>
        <v>1</v>
      </c>
      <c r="BE54" s="5"/>
      <c r="BF54" s="5"/>
      <c r="BG54" s="5"/>
      <c r="BH54" s="5"/>
      <c r="BI54" s="5"/>
      <c r="BJ54" s="5"/>
      <c r="BK54" s="148"/>
      <c r="BL54" s="148"/>
      <c r="BM54" s="148"/>
      <c r="BN54" s="148"/>
      <c r="BO54" s="148"/>
      <c r="BP54" s="148"/>
      <c r="BQ54" s="148"/>
      <c r="BR54" s="148"/>
      <c r="BS54" s="148"/>
      <c r="BT54" s="148"/>
      <c r="BU54" s="148"/>
    </row>
    <row r="55" s="2" customFormat="1" ht="13.5" spans="1:73">
      <c r="A55" s="147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5"/>
      <c r="W55" s="5"/>
      <c r="X55" s="5"/>
      <c r="Y55" s="5"/>
      <c r="Z55" s="5"/>
      <c r="AA55" s="5"/>
      <c r="AB55" s="5"/>
      <c r="AC55" s="5"/>
      <c r="AD55" s="5"/>
      <c r="AE55" s="5" t="s">
        <v>135</v>
      </c>
      <c r="AF55" s="5">
        <f>IF(AF50=1,1,0)</f>
        <v>1</v>
      </c>
      <c r="AG55" s="5">
        <f t="shared" si="27"/>
        <v>1</v>
      </c>
      <c r="AH55" s="5">
        <f t="shared" si="27"/>
        <v>1</v>
      </c>
      <c r="AI55" s="5">
        <f t="shared" si="27"/>
        <v>1</v>
      </c>
      <c r="AJ55" s="5">
        <f t="shared" si="27"/>
        <v>1</v>
      </c>
      <c r="AK55" s="5">
        <f t="shared" si="27"/>
        <v>1</v>
      </c>
      <c r="AL55" s="5">
        <f t="shared" si="27"/>
        <v>1</v>
      </c>
      <c r="AM55" s="5">
        <f t="shared" si="27"/>
        <v>2</v>
      </c>
      <c r="AN55" s="5">
        <f t="shared" si="27"/>
        <v>1</v>
      </c>
      <c r="AO55" s="5">
        <f t="shared" si="27"/>
        <v>1</v>
      </c>
      <c r="AP55" s="5">
        <f t="shared" si="27"/>
        <v>1</v>
      </c>
      <c r="AQ55" s="5">
        <f t="shared" si="27"/>
        <v>1</v>
      </c>
      <c r="AR55" s="5">
        <f t="shared" si="27"/>
        <v>1</v>
      </c>
      <c r="AS55" s="5">
        <f t="shared" si="27"/>
        <v>1</v>
      </c>
      <c r="AT55" s="5">
        <f t="shared" si="27"/>
        <v>1</v>
      </c>
      <c r="AU55" s="5">
        <f t="shared" si="27"/>
        <v>1</v>
      </c>
      <c r="AV55" s="5">
        <f t="shared" si="27"/>
        <v>1</v>
      </c>
      <c r="AW55" s="5">
        <f t="shared" si="27"/>
        <v>1</v>
      </c>
      <c r="AX55" s="5">
        <f t="shared" si="27"/>
        <v>1</v>
      </c>
      <c r="AY55" s="5">
        <f t="shared" si="27"/>
        <v>1</v>
      </c>
      <c r="AZ55" s="5">
        <f t="shared" si="27"/>
        <v>1</v>
      </c>
      <c r="BA55" s="5">
        <f t="shared" si="27"/>
        <v>1</v>
      </c>
      <c r="BB55" s="5">
        <f t="shared" si="27"/>
        <v>1</v>
      </c>
      <c r="BC55" s="5">
        <f t="shared" si="27"/>
        <v>1</v>
      </c>
      <c r="BD55" s="5">
        <f t="shared" si="27"/>
        <v>1</v>
      </c>
      <c r="BE55" s="5"/>
      <c r="BF55" s="5"/>
      <c r="BG55" s="5"/>
      <c r="BH55" s="5"/>
      <c r="BI55" s="5"/>
      <c r="BJ55" s="5"/>
      <c r="BK55" s="148"/>
      <c r="BL55" s="148"/>
      <c r="BM55" s="148"/>
      <c r="BN55" s="148"/>
      <c r="BO55" s="148"/>
      <c r="BP55" s="148"/>
      <c r="BQ55" s="148"/>
      <c r="BR55" s="148"/>
      <c r="BS55" s="148"/>
      <c r="BT55" s="148"/>
      <c r="BU55" s="148"/>
    </row>
    <row r="56" ht="13.5" spans="1:73">
      <c r="A56" s="44" t="s">
        <v>21</v>
      </c>
      <c r="B56" s="45"/>
      <c r="C56" s="46" t="s">
        <v>22</v>
      </c>
      <c r="D56" s="151"/>
      <c r="E56" s="49" t="str">
        <f>E5</f>
        <v>永利汽车零部件(武汉)有限公司</v>
      </c>
      <c r="F56" s="49"/>
      <c r="G56" s="49"/>
      <c r="H56" s="49"/>
      <c r="I56" s="49"/>
      <c r="J56" s="50" t="s">
        <v>24</v>
      </c>
      <c r="K56" s="151" t="str">
        <f>K5</f>
        <v>质量部</v>
      </c>
      <c r="L56" s="52"/>
      <c r="M56" s="53" t="s">
        <v>136</v>
      </c>
      <c r="N56" s="152" t="str">
        <f>N5</f>
        <v>2025.12.23</v>
      </c>
      <c r="O56" s="153"/>
      <c r="P56" s="154" t="s">
        <v>137</v>
      </c>
      <c r="Q56" s="155"/>
      <c r="R56" s="156"/>
      <c r="S56" s="156"/>
      <c r="T56" s="157" t="s">
        <v>138</v>
      </c>
      <c r="U56" s="158"/>
      <c r="AE56" s="5" t="s">
        <v>139</v>
      </c>
      <c r="AF56" s="5">
        <f>IF(AF51=1,1,0)</f>
        <v>0</v>
      </c>
      <c r="AG56" s="5">
        <f t="shared" si="27"/>
        <v>1</v>
      </c>
      <c r="AH56" s="5">
        <f t="shared" si="27"/>
        <v>1</v>
      </c>
      <c r="AI56" s="5">
        <f t="shared" si="27"/>
        <v>1</v>
      </c>
      <c r="AJ56" s="5">
        <f t="shared" si="27"/>
        <v>1</v>
      </c>
      <c r="AK56" s="5">
        <f t="shared" si="27"/>
        <v>1</v>
      </c>
      <c r="AL56" s="5">
        <f t="shared" si="27"/>
        <v>1</v>
      </c>
      <c r="AM56" s="5">
        <f t="shared" si="27"/>
        <v>1</v>
      </c>
      <c r="AN56" s="5">
        <f t="shared" si="27"/>
        <v>2</v>
      </c>
      <c r="AO56" s="5">
        <f t="shared" si="27"/>
        <v>1</v>
      </c>
      <c r="AP56" s="5">
        <f t="shared" si="27"/>
        <v>1</v>
      </c>
      <c r="AQ56" s="5">
        <f t="shared" si="27"/>
        <v>1</v>
      </c>
      <c r="AR56" s="5">
        <f t="shared" si="27"/>
        <v>1</v>
      </c>
      <c r="AS56" s="5">
        <f t="shared" si="27"/>
        <v>1</v>
      </c>
      <c r="AT56" s="5">
        <f t="shared" si="27"/>
        <v>1</v>
      </c>
      <c r="AU56" s="5">
        <f t="shared" si="27"/>
        <v>1</v>
      </c>
      <c r="AV56" s="5">
        <f t="shared" si="27"/>
        <v>1</v>
      </c>
      <c r="AW56" s="5">
        <f t="shared" si="27"/>
        <v>1</v>
      </c>
      <c r="AX56" s="5">
        <f t="shared" si="27"/>
        <v>1</v>
      </c>
      <c r="AY56" s="5">
        <f t="shared" si="27"/>
        <v>1</v>
      </c>
      <c r="AZ56" s="5">
        <f t="shared" si="27"/>
        <v>2</v>
      </c>
      <c r="BA56" s="5">
        <f t="shared" si="27"/>
        <v>1</v>
      </c>
      <c r="BB56" s="5">
        <f t="shared" si="27"/>
        <v>1</v>
      </c>
      <c r="BC56" s="5">
        <f t="shared" si="27"/>
        <v>1</v>
      </c>
      <c r="BD56" s="5">
        <f t="shared" si="27"/>
        <v>1</v>
      </c>
    </row>
    <row r="57" spans="1:73">
      <c r="A57" s="61" t="s">
        <v>38</v>
      </c>
      <c r="B57" s="62"/>
      <c r="C57" s="63" t="s">
        <v>140</v>
      </c>
      <c r="D57" s="64"/>
      <c r="E57" s="159" t="str">
        <f>E6</f>
        <v>Y1393847</v>
      </c>
      <c r="F57" s="66"/>
      <c r="G57" s="66"/>
      <c r="H57" s="67"/>
      <c r="I57" s="68" t="s">
        <v>141</v>
      </c>
      <c r="J57" s="69"/>
      <c r="K57" s="160"/>
      <c r="L57" s="72" t="str">
        <f>L6</f>
        <v>左LINK支架总成</v>
      </c>
      <c r="M57" s="72"/>
      <c r="N57" s="66"/>
      <c r="O57" s="73"/>
      <c r="P57" s="161" t="s">
        <v>142</v>
      </c>
      <c r="Q57" s="162"/>
      <c r="R57" s="163"/>
      <c r="S57" s="163"/>
      <c r="T57" s="164">
        <f>IF(COUNT(B83:Z92)&lt;&gt;0,COUNT(B83:Z92),"")</f>
        <v>125</v>
      </c>
      <c r="U57" s="165"/>
      <c r="AE57" s="5" t="s">
        <v>143</v>
      </c>
      <c r="AF57" s="5">
        <f>IF(AF52=1,1,0)</f>
        <v>1</v>
      </c>
      <c r="AG57" s="5">
        <f t="shared" si="27"/>
        <v>2</v>
      </c>
      <c r="AH57" s="5">
        <f t="shared" si="27"/>
        <v>3</v>
      </c>
      <c r="AI57" s="5">
        <f t="shared" si="27"/>
        <v>4</v>
      </c>
      <c r="AJ57" s="5">
        <f t="shared" si="27"/>
        <v>5</v>
      </c>
      <c r="AK57" s="5">
        <f t="shared" si="27"/>
        <v>6</v>
      </c>
      <c r="AL57" s="5">
        <f t="shared" si="27"/>
        <v>7</v>
      </c>
      <c r="AM57" s="5">
        <f t="shared" si="27"/>
        <v>1</v>
      </c>
      <c r="AN57" s="5">
        <f t="shared" si="27"/>
        <v>1</v>
      </c>
      <c r="AO57" s="5">
        <f t="shared" si="27"/>
        <v>1</v>
      </c>
      <c r="AP57" s="5">
        <f t="shared" si="27"/>
        <v>2</v>
      </c>
      <c r="AQ57" s="5">
        <f t="shared" si="27"/>
        <v>1</v>
      </c>
      <c r="AR57" s="5">
        <f t="shared" si="27"/>
        <v>1</v>
      </c>
      <c r="AS57" s="5">
        <f t="shared" si="27"/>
        <v>1</v>
      </c>
      <c r="AT57" s="5">
        <f t="shared" si="27"/>
        <v>1</v>
      </c>
      <c r="AU57" s="5">
        <f t="shared" si="27"/>
        <v>1</v>
      </c>
      <c r="AV57" s="5">
        <f t="shared" si="27"/>
        <v>1</v>
      </c>
      <c r="AW57" s="5">
        <f t="shared" si="27"/>
        <v>1</v>
      </c>
      <c r="AX57" s="5">
        <f t="shared" si="27"/>
        <v>1</v>
      </c>
      <c r="AY57" s="5">
        <f t="shared" si="27"/>
        <v>1</v>
      </c>
      <c r="AZ57" s="5">
        <f t="shared" si="27"/>
        <v>1</v>
      </c>
      <c r="BA57" s="5">
        <f t="shared" si="27"/>
        <v>1</v>
      </c>
      <c r="BB57" s="5">
        <f t="shared" si="27"/>
        <v>2</v>
      </c>
      <c r="BC57" s="5">
        <f t="shared" si="27"/>
        <v>3</v>
      </c>
      <c r="BD57" s="5">
        <f t="shared" si="27"/>
        <v>4</v>
      </c>
    </row>
    <row r="58" ht="13.5" spans="1:73">
      <c r="A58" s="79"/>
      <c r="B58" s="80"/>
      <c r="C58" s="63" t="s">
        <v>144</v>
      </c>
      <c r="D58" s="64"/>
      <c r="E58" s="160" t="str">
        <f>E7</f>
        <v>D1393847</v>
      </c>
      <c r="F58" s="72"/>
      <c r="G58" s="72"/>
      <c r="H58" s="82"/>
      <c r="I58" s="68" t="s">
        <v>50</v>
      </c>
      <c r="J58" s="83"/>
      <c r="K58" s="160"/>
      <c r="L58" s="66">
        <f>L7</f>
        <v>1</v>
      </c>
      <c r="M58" s="66"/>
      <c r="N58" s="66"/>
      <c r="O58" s="86"/>
      <c r="P58" s="166" t="s">
        <v>145</v>
      </c>
      <c r="Q58" s="167"/>
      <c r="R58" s="168"/>
      <c r="S58" s="168"/>
      <c r="T58" s="169">
        <f>D11</f>
        <v>20.05</v>
      </c>
      <c r="U58" s="170"/>
    </row>
    <row r="59" ht="13.5" spans="1:73">
      <c r="A59" s="44" t="s">
        <v>55</v>
      </c>
      <c r="B59" s="45"/>
      <c r="C59" s="63" t="s">
        <v>146</v>
      </c>
      <c r="D59" s="64"/>
      <c r="E59" s="171">
        <f>E8</f>
        <v>0</v>
      </c>
      <c r="F59" s="66"/>
      <c r="G59" s="66"/>
      <c r="H59" s="64"/>
      <c r="I59" s="88" t="s">
        <v>147</v>
      </c>
      <c r="J59" s="83"/>
      <c r="K59" s="160" t="str">
        <f>K8</f>
        <v> </v>
      </c>
      <c r="L59" s="66"/>
      <c r="M59" s="66"/>
      <c r="N59" s="66"/>
      <c r="O59" s="86"/>
      <c r="P59" s="172" t="s">
        <v>148</v>
      </c>
      <c r="Q59" s="173"/>
      <c r="R59" s="174"/>
      <c r="S59" s="174"/>
      <c r="T59" s="175">
        <f>I11</f>
        <v>20.1</v>
      </c>
      <c r="U59" s="176"/>
      <c r="AE59" s="5" t="s">
        <v>149</v>
      </c>
      <c r="AF59" s="5">
        <f>MAX(AF54:BD54)</f>
        <v>7</v>
      </c>
      <c r="AG59" s="5" t="str">
        <f>TEXT(AF59,0)</f>
        <v>7</v>
      </c>
      <c r="AH59" s="5" t="s">
        <v>150</v>
      </c>
    </row>
    <row r="60" ht="13.5" spans="1:73">
      <c r="A60" s="61" t="s">
        <v>61</v>
      </c>
      <c r="B60" s="91"/>
      <c r="C60" s="177" t="s">
        <v>62</v>
      </c>
      <c r="D60" s="64"/>
      <c r="E60" s="160">
        <f>E9</f>
        <v>0</v>
      </c>
      <c r="F60" s="66"/>
      <c r="G60" s="66"/>
      <c r="H60" s="72"/>
      <c r="I60" s="72"/>
      <c r="J60" s="82"/>
      <c r="K60" s="178" t="s">
        <v>63</v>
      </c>
      <c r="L60" s="179"/>
      <c r="M60" s="180"/>
      <c r="N60" s="180"/>
      <c r="O60" s="181"/>
      <c r="P60" s="182" t="s">
        <v>151</v>
      </c>
      <c r="Q60" s="183"/>
      <c r="R60" s="184"/>
      <c r="S60" s="184"/>
      <c r="T60" s="185">
        <f>M11</f>
        <v>20.15</v>
      </c>
      <c r="U60" s="186"/>
      <c r="AE60" s="5" t="s">
        <v>152</v>
      </c>
      <c r="AF60" s="5">
        <f>MAX(AF55:BD55)</f>
        <v>2</v>
      </c>
      <c r="AG60" s="5" t="str">
        <f>TEXT(AF60,0)</f>
        <v>2</v>
      </c>
      <c r="AH60" s="5" t="s">
        <v>153</v>
      </c>
    </row>
    <row r="61" spans="1:73">
      <c r="A61" s="106"/>
      <c r="B61" s="107"/>
      <c r="C61" s="108" t="s">
        <v>68</v>
      </c>
      <c r="D61" s="187">
        <f>D10</f>
        <v>20.1</v>
      </c>
      <c r="E61" s="188"/>
      <c r="F61" s="111"/>
      <c r="G61" s="112" t="s">
        <v>69</v>
      </c>
      <c r="H61" s="113"/>
      <c r="I61" s="187">
        <f>I10</f>
        <v>0.05</v>
      </c>
      <c r="J61" s="114"/>
      <c r="K61" s="111"/>
      <c r="L61" s="115" t="s">
        <v>70</v>
      </c>
      <c r="M61" s="189">
        <f>M10</f>
        <v>0.05</v>
      </c>
      <c r="N61" s="190"/>
      <c r="O61" s="191"/>
      <c r="P61" s="166" t="s">
        <v>154</v>
      </c>
      <c r="Q61" s="167"/>
      <c r="R61" s="192"/>
      <c r="S61" s="192"/>
      <c r="T61" s="169">
        <f>IF(T57="","",SUM(B83:Z92))</f>
        <v>2514.43</v>
      </c>
      <c r="U61" s="170"/>
      <c r="AE61" s="5" t="s">
        <v>155</v>
      </c>
      <c r="AF61" s="5">
        <f>MAX(AF56:BD56)</f>
        <v>2</v>
      </c>
      <c r="AG61" s="5" t="str">
        <f>TEXT(AF61,0)</f>
        <v>2</v>
      </c>
      <c r="AH61" s="5" t="s">
        <v>156</v>
      </c>
    </row>
    <row r="62" ht="13.5" spans="1:73">
      <c r="A62" s="122"/>
      <c r="B62" s="123"/>
      <c r="C62" s="124" t="str">
        <f>IF($AA$3=1,"下限LSL",IF($AA$3=2,"MIN",""))</f>
        <v>下限LSL</v>
      </c>
      <c r="D62" s="125">
        <f>D11</f>
        <v>20.05</v>
      </c>
      <c r="E62" s="126"/>
      <c r="F62" s="127"/>
      <c r="G62" s="128" t="str">
        <f>IF($AA$3=1,"名义值NOMINAL","")</f>
        <v>名义值NOMINAL</v>
      </c>
      <c r="H62" s="129"/>
      <c r="I62" s="125">
        <f>I11</f>
        <v>20.1</v>
      </c>
      <c r="J62" s="126"/>
      <c r="K62" s="130"/>
      <c r="L62" s="129" t="str">
        <f>IF($AA$3=1,"上限USL",IF($AA$3=2,"","MAX"))</f>
        <v>上限USL</v>
      </c>
      <c r="M62" s="125">
        <f>IF(OR($AA$3=1,$AA$3=3),D61+I61,"")</f>
        <v>20.15</v>
      </c>
      <c r="N62" s="126"/>
      <c r="O62" s="193"/>
      <c r="P62" s="172" t="s">
        <v>157</v>
      </c>
      <c r="Q62" s="173"/>
      <c r="R62" s="138"/>
      <c r="S62" s="138"/>
      <c r="T62" s="175">
        <f>IF(T57="","",AVERAGE(B83:Z92))</f>
        <v>20.11544</v>
      </c>
      <c r="U62" s="176"/>
      <c r="AE62" s="5" t="s">
        <v>158</v>
      </c>
      <c r="AF62" s="5">
        <f>MAX(AF57:BD57)</f>
        <v>7</v>
      </c>
      <c r="AG62" s="5" t="str">
        <f>TEXT(AF62,0)</f>
        <v>7</v>
      </c>
      <c r="AH62" s="5" t="s">
        <v>159</v>
      </c>
    </row>
    <row r="63" spans="1:73">
      <c r="A63" s="194" t="s">
        <v>160</v>
      </c>
      <c r="B63" s="34"/>
      <c r="C63" s="34"/>
      <c r="D63" s="34"/>
      <c r="E63" s="34"/>
      <c r="F63" s="34"/>
      <c r="G63" s="34"/>
      <c r="H63" s="195"/>
      <c r="I63" s="194" t="s">
        <v>161</v>
      </c>
      <c r="J63" s="34"/>
      <c r="K63" s="34"/>
      <c r="L63" s="34"/>
      <c r="M63" s="34"/>
      <c r="N63" s="34"/>
      <c r="O63" s="196"/>
      <c r="P63" s="172" t="s">
        <v>162</v>
      </c>
      <c r="Q63" s="173"/>
      <c r="R63" s="138"/>
      <c r="S63" s="138"/>
      <c r="T63" s="175">
        <f>IF(T57="","",MAX(B83:Z92))</f>
        <v>20.13</v>
      </c>
      <c r="U63" s="176"/>
    </row>
    <row r="64" spans="1:73">
      <c r="A64" s="197"/>
      <c r="B64" s="14"/>
      <c r="C64" s="14"/>
      <c r="D64" s="14"/>
      <c r="E64" s="14"/>
      <c r="F64" s="14"/>
      <c r="G64" s="14"/>
      <c r="H64" s="14"/>
      <c r="I64" s="14"/>
      <c r="J64" s="198" t="str">
        <f>IF($AA$3=3,"  MIN Reading line","  LSL")</f>
        <v>  LSL</v>
      </c>
      <c r="L64" s="14"/>
      <c r="M64" s="14"/>
      <c r="N64" s="199" t="str">
        <f>IF($AA$3=2,"  MAX Reading Line","  USL")</f>
        <v>  USL</v>
      </c>
      <c r="O64" s="14"/>
      <c r="P64" s="172" t="s">
        <v>163</v>
      </c>
      <c r="Q64" s="173"/>
      <c r="R64" s="138"/>
      <c r="S64" s="138"/>
      <c r="T64" s="175">
        <f>IF(T57="","",MIN(B83:Z92))</f>
        <v>20.1</v>
      </c>
      <c r="U64" s="176"/>
      <c r="AD64" s="5" t="s">
        <v>164</v>
      </c>
      <c r="AE64" s="5" t="s">
        <v>165</v>
      </c>
      <c r="AF64" s="5">
        <f>B93</f>
        <v>20.114</v>
      </c>
      <c r="AG64" s="5">
        <f t="shared" ref="AG64:AY64" si="28">IF(SUM(C83:C87)=0,AG21,C93)</f>
        <v>20.118</v>
      </c>
      <c r="AH64" s="5">
        <f t="shared" si="28"/>
        <v>20.116</v>
      </c>
      <c r="AI64" s="5">
        <f t="shared" si="28"/>
        <v>20.114</v>
      </c>
      <c r="AJ64" s="5">
        <f t="shared" si="28"/>
        <v>20.116</v>
      </c>
      <c r="AK64" s="5">
        <f t="shared" si="28"/>
        <v>20.116</v>
      </c>
      <c r="AL64" s="5">
        <f t="shared" si="28"/>
        <v>20.112</v>
      </c>
      <c r="AM64" s="5">
        <f t="shared" si="28"/>
        <v>20.11</v>
      </c>
      <c r="AN64" s="5">
        <f t="shared" si="28"/>
        <v>20.118</v>
      </c>
      <c r="AO64" s="5">
        <f t="shared" si="28"/>
        <v>20.116</v>
      </c>
      <c r="AP64" s="5">
        <f t="shared" si="28"/>
        <v>20.116</v>
      </c>
      <c r="AQ64" s="5">
        <f t="shared" si="28"/>
        <v>20.116</v>
      </c>
      <c r="AR64" s="5">
        <f t="shared" si="28"/>
        <v>20.116</v>
      </c>
      <c r="AS64" s="5">
        <f t="shared" si="28"/>
        <v>20.118</v>
      </c>
      <c r="AT64" s="5">
        <f t="shared" si="28"/>
        <v>20.116</v>
      </c>
      <c r="AU64" s="5">
        <f t="shared" si="28"/>
        <v>20.112</v>
      </c>
      <c r="AV64" s="5">
        <f t="shared" si="28"/>
        <v>20.118</v>
      </c>
      <c r="AW64" s="5">
        <f t="shared" si="28"/>
        <v>20.116</v>
      </c>
      <c r="AX64" s="5">
        <f t="shared" si="28"/>
        <v>20.116</v>
      </c>
      <c r="AY64" s="5">
        <f t="shared" si="28"/>
        <v>20.116</v>
      </c>
      <c r="AZ64" s="5">
        <f>IF(SUM(B96:B100)=0,AZ21,B106)</f>
        <v>20.114</v>
      </c>
      <c r="BA64" s="5">
        <f>IF(SUM(C96:C100)=0,BA21,C106)</f>
        <v>20.116</v>
      </c>
      <c r="BB64" s="5">
        <f>IF(SUM(D96:D100)=0,BB21,D106)</f>
        <v>20.114</v>
      </c>
      <c r="BC64" s="5">
        <f>IF(SUM(E96:E100)=0,BC21,E106)</f>
        <v>20.118</v>
      </c>
      <c r="BD64" s="5">
        <f>IF(SUM(F96:F100)=0,BD21,F106)</f>
        <v>20.114</v>
      </c>
    </row>
    <row r="65" spans="1:32">
      <c r="A65" s="197"/>
      <c r="B65" s="14"/>
      <c r="C65" s="14"/>
      <c r="D65" s="14"/>
      <c r="E65" s="14"/>
      <c r="F65" s="14"/>
      <c r="G65" s="14"/>
      <c r="H65" s="14"/>
      <c r="I65" s="14"/>
      <c r="J65" s="138"/>
      <c r="K65" s="138"/>
      <c r="L65" s="138"/>
      <c r="M65" s="138"/>
      <c r="N65" s="200"/>
      <c r="O65" s="201"/>
      <c r="P65" s="172" t="s">
        <v>166</v>
      </c>
      <c r="Q65" s="173"/>
      <c r="R65" s="138"/>
      <c r="S65" s="138"/>
      <c r="T65" s="202">
        <f ca="1">IF(T57="","",COUNTIF(B83:Z92,"&lt;"&amp;INDIRECT(AE18)))</f>
        <v>0</v>
      </c>
      <c r="U65" s="176"/>
    </row>
    <row r="66" spans="1:32">
      <c r="A66" s="197"/>
      <c r="B66" s="14"/>
      <c r="C66" s="14"/>
      <c r="D66" s="14"/>
      <c r="E66" s="14"/>
      <c r="F66" s="14"/>
      <c r="G66" s="14"/>
      <c r="H66" s="14"/>
      <c r="I66" s="14"/>
      <c r="J66" s="138"/>
      <c r="K66" s="198"/>
      <c r="L66" s="138"/>
      <c r="M66" s="138"/>
      <c r="N66" s="14"/>
      <c r="O66" s="203"/>
      <c r="P66" s="182" t="s">
        <v>167</v>
      </c>
      <c r="Q66" s="183"/>
      <c r="R66" s="184"/>
      <c r="S66" s="184"/>
      <c r="T66" s="204">
        <f ca="1">IF(T57="","",COUNTIF(B83:Z92,"&gt;"&amp;INDIRECT(AE19)))</f>
        <v>0</v>
      </c>
      <c r="U66" s="186"/>
    </row>
    <row r="67" spans="1:32">
      <c r="A67" s="197"/>
      <c r="B67" s="14"/>
      <c r="C67" s="14"/>
      <c r="D67" s="14"/>
      <c r="E67" s="14"/>
      <c r="F67" s="14"/>
      <c r="G67" s="14"/>
      <c r="H67" s="14"/>
      <c r="I67" s="14"/>
      <c r="J67" s="205">
        <f>AQ17</f>
        <v>20.05</v>
      </c>
      <c r="K67" s="206"/>
      <c r="L67" s="138"/>
      <c r="M67" s="138"/>
      <c r="N67" s="207">
        <f>AR17</f>
        <v>20.15</v>
      </c>
      <c r="O67" s="208"/>
      <c r="P67" s="166" t="s">
        <v>168</v>
      </c>
      <c r="Q67" s="167"/>
      <c r="R67" s="192"/>
      <c r="S67" s="192"/>
      <c r="T67" s="169">
        <f>IF(T57="","",AVERAGE(B94:Z94))</f>
        <v>0.0132000000000009</v>
      </c>
      <c r="U67" s="170"/>
    </row>
    <row r="68" ht="16.5" spans="1:32">
      <c r="A68" s="197"/>
      <c r="B68" s="14"/>
      <c r="C68" s="14"/>
      <c r="D68" s="14"/>
      <c r="E68" s="14"/>
      <c r="F68" s="14"/>
      <c r="G68" s="8"/>
      <c r="H68" s="8"/>
      <c r="I68" s="8"/>
      <c r="J68" s="8"/>
      <c r="K68" s="174"/>
      <c r="L68" s="174"/>
      <c r="M68" s="138"/>
      <c r="N68" s="138"/>
      <c r="O68" s="14"/>
      <c r="P68" s="209" t="s">
        <v>169</v>
      </c>
      <c r="Q68" s="210" t="s">
        <v>170</v>
      </c>
      <c r="R68" s="211">
        <f>$N$3</f>
        <v>5</v>
      </c>
      <c r="S68" s="138"/>
      <c r="T68" s="175">
        <f>IF(T57="","",IF($N$3&lt;=5,Y68,IF($N$3&gt;5,Y69,"")))</f>
        <v>2.326</v>
      </c>
      <c r="U68" s="176"/>
      <c r="W68" s="5" t="s">
        <v>171</v>
      </c>
      <c r="X68" s="5" t="s">
        <v>172</v>
      </c>
      <c r="Y68" s="5">
        <f>IF($N$3=2,1.128,IF($N$3=3,1.693,IF($N$3=4,2.059,IF($N$3=5,2.326,""))))</f>
        <v>2.326</v>
      </c>
    </row>
    <row r="69" spans="1:32">
      <c r="A69" s="197"/>
      <c r="B69" s="14"/>
      <c r="C69" s="14"/>
      <c r="D69" s="14"/>
      <c r="E69" s="14"/>
      <c r="F69" s="14"/>
      <c r="G69" s="8"/>
      <c r="H69" s="8"/>
      <c r="I69" s="8"/>
      <c r="J69" s="8"/>
      <c r="K69" s="174"/>
      <c r="L69" s="174"/>
      <c r="M69" s="138"/>
      <c r="N69" s="138"/>
      <c r="O69" s="14"/>
      <c r="P69" s="172" t="s">
        <v>173</v>
      </c>
      <c r="Q69" s="173"/>
      <c r="R69" s="138"/>
      <c r="S69" s="138"/>
      <c r="T69" s="175">
        <f>IF(T57="","",IF(AA3=2,"N/A",(T60-T62)/(3*T67/T68)))</f>
        <v>2.02996363636573</v>
      </c>
      <c r="U69" s="176"/>
      <c r="X69" s="5" t="s">
        <v>174</v>
      </c>
      <c r="Y69" s="5" t="str">
        <f>IF($N$3=6,2.534,IF($N$3=7,2.704,IF($N$3=8,2.847,IF($N$3=9,2.97,IF($N$3=10,3.078,"")))))</f>
        <v/>
      </c>
    </row>
    <row r="70" spans="1:32">
      <c r="A70" s="197"/>
      <c r="B70" s="14"/>
      <c r="C70" s="14"/>
      <c r="D70" s="14"/>
      <c r="E70" s="14"/>
      <c r="F70" s="14"/>
      <c r="G70" s="8"/>
      <c r="H70" s="8"/>
      <c r="I70" s="8"/>
      <c r="J70" s="8"/>
      <c r="K70" s="174"/>
      <c r="L70" s="174"/>
      <c r="M70" s="138"/>
      <c r="N70" s="138"/>
      <c r="O70" s="14"/>
      <c r="P70" s="172" t="s">
        <v>175</v>
      </c>
      <c r="Q70" s="173"/>
      <c r="R70" s="138"/>
      <c r="S70" s="138"/>
      <c r="T70" s="175">
        <f>IF(T57="","",IF(AA3=3,"N/A",(T62-T58)/(3*T67/T68)))</f>
        <v>3.84377373737131</v>
      </c>
      <c r="U70" s="176"/>
    </row>
    <row r="71" ht="16.5" spans="1:32">
      <c r="A71" s="197"/>
      <c r="B71" s="14"/>
      <c r="C71" s="14"/>
      <c r="D71" s="14"/>
      <c r="E71" s="14"/>
      <c r="F71" s="14"/>
      <c r="G71" s="8"/>
      <c r="H71" s="8"/>
      <c r="I71" s="8"/>
      <c r="J71" s="8"/>
      <c r="K71" s="174"/>
      <c r="L71" s="174"/>
      <c r="M71" s="138"/>
      <c r="N71" s="138"/>
      <c r="O71" s="14"/>
      <c r="P71" s="172" t="s">
        <v>176</v>
      </c>
      <c r="Q71" s="173"/>
      <c r="R71" s="138"/>
      <c r="S71" s="138"/>
      <c r="T71" s="175">
        <f>IF(T57="","",IF(AA3&lt;&gt;1,"N/A",(T60-T58)/(6*T67/T68)))</f>
        <v>2.93686868686852</v>
      </c>
      <c r="U71" s="176"/>
      <c r="AC71" s="5">
        <f t="shared" ref="AC71:AC76" si="29">LEN(AF71)</f>
        <v>32</v>
      </c>
      <c r="AE71" s="5">
        <f>IF(T57="",0,IF(T5&gt;=7,1,0))</f>
        <v>0</v>
      </c>
      <c r="AF71" s="5" t="s">
        <v>177</v>
      </c>
    </row>
    <row r="72" ht="16.5" spans="1:32">
      <c r="A72" s="197"/>
      <c r="B72" s="14"/>
      <c r="C72" s="14"/>
      <c r="D72" s="14"/>
      <c r="E72" s="14"/>
      <c r="F72" s="14"/>
      <c r="G72" s="138"/>
      <c r="H72" s="138"/>
      <c r="I72" s="138"/>
      <c r="J72" s="138"/>
      <c r="K72" s="138"/>
      <c r="L72" s="138"/>
      <c r="M72" s="138"/>
      <c r="N72" s="138"/>
      <c r="O72" s="14"/>
      <c r="P72" s="212" t="s">
        <v>178</v>
      </c>
      <c r="Q72" s="173"/>
      <c r="R72" s="144"/>
      <c r="S72" s="144"/>
      <c r="T72" s="213">
        <f>IF(T57="","",MIN(T69,T70))</f>
        <v>2.02996363636573</v>
      </c>
      <c r="U72" s="176"/>
      <c r="AC72" s="5">
        <f t="shared" si="29"/>
        <v>32</v>
      </c>
      <c r="AE72" s="5">
        <f>IF(T57="",0,IF(T7&gt;=7,1,0))</f>
        <v>0</v>
      </c>
      <c r="AF72" s="5" t="s">
        <v>179</v>
      </c>
    </row>
    <row r="73" spans="1:32">
      <c r="A73" s="197"/>
      <c r="B73" s="14"/>
      <c r="C73" s="14"/>
      <c r="D73" s="14"/>
      <c r="E73" s="14"/>
      <c r="F73" s="14"/>
      <c r="G73" s="138"/>
      <c r="H73" s="138"/>
      <c r="I73" s="138"/>
      <c r="J73" s="138"/>
      <c r="K73" s="138"/>
      <c r="L73" s="138"/>
      <c r="M73" s="138"/>
      <c r="N73" s="138"/>
      <c r="O73" s="14"/>
      <c r="P73" s="182" t="s">
        <v>180</v>
      </c>
      <c r="Q73" s="183"/>
      <c r="R73" s="184"/>
      <c r="S73" s="184"/>
      <c r="T73" s="185">
        <f>IF(T57="","",IF(AA3&lt;&gt;1,"N/A",(6*T67/T68)/(T60-T58)))</f>
        <v>0.340498710232177</v>
      </c>
      <c r="U73" s="186"/>
      <c r="AC73" s="5">
        <f t="shared" si="29"/>
        <v>28</v>
      </c>
      <c r="AE73" s="5">
        <f ca="1">IF(T57="",0,IF(T9&lt;&gt;0,1,0))</f>
        <v>0</v>
      </c>
      <c r="AF73" s="5" t="s">
        <v>181</v>
      </c>
    </row>
    <row r="74" spans="1:32">
      <c r="A74" s="197"/>
      <c r="B74" s="14"/>
      <c r="C74" s="14"/>
      <c r="D74" s="14"/>
      <c r="E74" s="14"/>
      <c r="F74" s="14"/>
      <c r="G74" s="138"/>
      <c r="H74" s="138"/>
      <c r="I74" s="138"/>
      <c r="J74" s="138"/>
      <c r="K74" s="138"/>
      <c r="L74" s="138"/>
      <c r="M74" s="138"/>
      <c r="N74" s="138"/>
      <c r="O74" s="14"/>
      <c r="P74" s="214" t="s">
        <v>182</v>
      </c>
      <c r="Q74" s="167"/>
      <c r="R74" s="192"/>
      <c r="S74" s="192"/>
      <c r="T74" s="169">
        <f>IF(T57="","",STDEV(B83:Z92))</f>
        <v>0.00615708351570448</v>
      </c>
      <c r="U74" s="170"/>
      <c r="AC74" s="5">
        <f t="shared" si="29"/>
        <v>31</v>
      </c>
      <c r="AE74" s="5">
        <f>IF(T57="",0,IF(U5&gt;=7,1,0))</f>
        <v>0</v>
      </c>
      <c r="AF74" s="5" t="s">
        <v>183</v>
      </c>
    </row>
    <row r="75" spans="1:32">
      <c r="A75" s="197"/>
      <c r="B75" s="14"/>
      <c r="C75" s="14"/>
      <c r="D75" s="14"/>
      <c r="E75" s="14"/>
      <c r="F75" s="14"/>
      <c r="G75" s="138"/>
      <c r="H75" s="138"/>
      <c r="I75" s="138"/>
      <c r="J75" s="138"/>
      <c r="K75" s="138"/>
      <c r="L75" s="138"/>
      <c r="M75" s="138"/>
      <c r="N75" s="138"/>
      <c r="O75" s="14"/>
      <c r="P75" s="215" t="s">
        <v>184</v>
      </c>
      <c r="Q75" s="173"/>
      <c r="R75" s="138"/>
      <c r="S75" s="138"/>
      <c r="T75" s="175">
        <f>IF(T57="","",STDEVP(B83:Z92))</f>
        <v>0.00613240572695618</v>
      </c>
      <c r="U75" s="176"/>
      <c r="AC75" s="5">
        <f t="shared" si="29"/>
        <v>33</v>
      </c>
      <c r="AE75" s="5">
        <f>IF(T57="",0,IF(U7&gt;=7,1,0))</f>
        <v>0</v>
      </c>
      <c r="AF75" s="5" t="s">
        <v>185</v>
      </c>
    </row>
    <row r="76" spans="1:32">
      <c r="A76" s="197"/>
      <c r="B76" s="14"/>
      <c r="C76" s="14"/>
      <c r="D76" s="14"/>
      <c r="E76" s="14"/>
      <c r="F76" s="14"/>
      <c r="G76" s="138"/>
      <c r="H76" s="138"/>
      <c r="I76" s="138"/>
      <c r="J76" s="138"/>
      <c r="K76" s="138"/>
      <c r="L76" s="138"/>
      <c r="M76" s="138"/>
      <c r="N76" s="138"/>
      <c r="O76" s="14"/>
      <c r="P76" s="215" t="s">
        <v>186</v>
      </c>
      <c r="Q76" s="173"/>
      <c r="R76" s="138"/>
      <c r="S76" s="138"/>
      <c r="T76" s="175">
        <f>IF(T57="","",VAR(B83:Z92))</f>
        <v>3.79096774193599e-5</v>
      </c>
      <c r="U76" s="176"/>
      <c r="AC76" s="5">
        <f t="shared" si="29"/>
        <v>28</v>
      </c>
      <c r="AE76" s="5">
        <f ca="1">IF(T57="",0,IF(U9&lt;&gt;0,1,0))</f>
        <v>0</v>
      </c>
      <c r="AF76" s="5" t="s">
        <v>187</v>
      </c>
    </row>
    <row r="77" spans="1:32">
      <c r="A77" s="197"/>
      <c r="B77" s="14"/>
      <c r="C77" s="14"/>
      <c r="D77" s="14"/>
      <c r="E77" s="14"/>
      <c r="F77" s="14"/>
      <c r="G77" s="138"/>
      <c r="H77" s="138"/>
      <c r="I77" s="138"/>
      <c r="J77" s="138"/>
      <c r="K77" s="138"/>
      <c r="L77" s="138"/>
      <c r="M77" s="138"/>
      <c r="N77" s="138"/>
      <c r="O77" s="14"/>
      <c r="P77" s="215" t="s">
        <v>188</v>
      </c>
      <c r="Q77" s="173"/>
      <c r="R77" s="138"/>
      <c r="S77" s="138"/>
      <c r="T77" s="175">
        <f>IF(T57="","",VARP(B83:Z92))</f>
        <v>3.7606400000005e-5</v>
      </c>
      <c r="U77" s="176"/>
      <c r="AD77" s="5">
        <f>LEN(AF77)</f>
        <v>44</v>
      </c>
      <c r="AE77" s="5">
        <f>IF(T57="",0,IF(AND(T78&lt;1.67,T72&lt;1.33),1,0))</f>
        <v>0</v>
      </c>
      <c r="AF77" s="5" t="s">
        <v>189</v>
      </c>
    </row>
    <row r="78" ht="16.5" spans="1:32">
      <c r="A78" s="197"/>
      <c r="B78" s="14"/>
      <c r="C78" s="14"/>
      <c r="D78" s="14"/>
      <c r="E78" s="14"/>
      <c r="F78" s="14"/>
      <c r="G78" s="138"/>
      <c r="H78" s="138"/>
      <c r="I78" s="138"/>
      <c r="J78" s="138"/>
      <c r="K78" s="138"/>
      <c r="L78" s="138"/>
      <c r="M78" s="138"/>
      <c r="N78" s="138"/>
      <c r="O78" s="14"/>
      <c r="P78" s="172" t="s">
        <v>190</v>
      </c>
      <c r="Q78" s="173"/>
      <c r="R78" s="138"/>
      <c r="S78" s="138"/>
      <c r="T78" s="175">
        <f>IF(T57="","",IF(AA3&lt;&gt;1,"N/A",(T60-T58)/(6*T74)))</f>
        <v>2.70690930603041</v>
      </c>
      <c r="U78" s="176"/>
      <c r="AD78" s="5">
        <f>LEN(AF78)</f>
        <v>70</v>
      </c>
      <c r="AE78" s="5">
        <f>IF(T57="",0,IF(AND(T80&lt;1.67,T80&gt;=1.33,T72&lt;1.33),1,0))</f>
        <v>0</v>
      </c>
      <c r="AF78" s="5" t="s">
        <v>191</v>
      </c>
    </row>
    <row r="79" spans="1:32">
      <c r="A79" s="197"/>
      <c r="B79" s="14"/>
      <c r="C79" s="14"/>
      <c r="D79" s="14"/>
      <c r="E79" s="14"/>
      <c r="F79" s="14"/>
      <c r="G79" s="138"/>
      <c r="H79" s="138"/>
      <c r="I79" s="138"/>
      <c r="J79" s="138"/>
      <c r="K79" s="138"/>
      <c r="L79" s="138"/>
      <c r="M79" s="138"/>
      <c r="N79" s="138"/>
      <c r="O79" s="14"/>
      <c r="P79" s="172" t="s">
        <v>192</v>
      </c>
      <c r="Q79" s="173"/>
      <c r="R79" s="138"/>
      <c r="S79" s="138"/>
      <c r="T79" s="175">
        <f>IF(T57="","",IF(AA3&lt;&gt;1,"N/A",(6*T74)/(T60-T58)))</f>
        <v>0.369425010942264</v>
      </c>
      <c r="U79" s="176"/>
      <c r="AD79" s="5">
        <f>LEN(AF79)</f>
        <v>52</v>
      </c>
      <c r="AE79" s="5">
        <f>IF(T57="",0,IF(T80&lt;1.33,1,0))</f>
        <v>0</v>
      </c>
      <c r="AF79" s="5" t="s">
        <v>193</v>
      </c>
    </row>
    <row r="80" ht="17.25" spans="1:32">
      <c r="A80" s="197"/>
      <c r="B80" s="14"/>
      <c r="C80" s="14"/>
      <c r="D80" s="14"/>
      <c r="E80" s="14"/>
      <c r="F80" s="14"/>
      <c r="G80" s="138"/>
      <c r="H80" s="138"/>
      <c r="I80" s="138"/>
      <c r="J80" s="138"/>
      <c r="K80" s="138"/>
      <c r="L80" s="138"/>
      <c r="M80" s="138"/>
      <c r="N80" s="138"/>
      <c r="O80" s="14"/>
      <c r="P80" s="216" t="s">
        <v>194</v>
      </c>
      <c r="Q80" s="173"/>
      <c r="R80" s="138"/>
      <c r="S80" s="138"/>
      <c r="T80" s="213">
        <f>IF(T57="","",MIN(AD5,AD6))</f>
        <v>1.87101571233026</v>
      </c>
      <c r="U80" s="176"/>
      <c r="AE80" s="5">
        <f>IF(T57="",0,IF(AF59&gt;=7,1,0))</f>
        <v>1</v>
      </c>
      <c r="AF80" s="5" t="s">
        <v>195</v>
      </c>
    </row>
    <row r="81" ht="13.5" spans="1:32">
      <c r="A81" s="217"/>
      <c r="B81" s="217"/>
      <c r="C81" s="217"/>
      <c r="D81" s="217"/>
      <c r="E81" s="217"/>
      <c r="F81" s="217"/>
      <c r="G81" s="217" t="s">
        <v>196</v>
      </c>
      <c r="H81" s="218" t="s">
        <v>197</v>
      </c>
      <c r="I81" s="218" t="s">
        <v>198</v>
      </c>
      <c r="J81" s="218" t="s">
        <v>199</v>
      </c>
      <c r="K81" s="218" t="s">
        <v>200</v>
      </c>
      <c r="L81" s="218" t="s">
        <v>201</v>
      </c>
      <c r="M81" s="218" t="s">
        <v>197</v>
      </c>
      <c r="N81" s="218" t="s">
        <v>202</v>
      </c>
      <c r="O81" s="218" t="s">
        <v>196</v>
      </c>
      <c r="P81" s="218"/>
      <c r="Q81" s="218"/>
      <c r="R81" s="218"/>
      <c r="S81" s="218"/>
      <c r="T81" s="218"/>
      <c r="U81" s="219"/>
      <c r="AE81" s="5">
        <f>IF(T57="",0,IF(AF60&gt;=7,1,0))</f>
        <v>0</v>
      </c>
      <c r="AF81" s="5" t="s">
        <v>203</v>
      </c>
    </row>
    <row r="82" spans="1:32">
      <c r="A82" s="220" t="s">
        <v>30</v>
      </c>
      <c r="B82" s="221">
        <v>1</v>
      </c>
      <c r="C82" s="221">
        <f t="shared" ref="C82:U82" si="30">1+B82</f>
        <v>2</v>
      </c>
      <c r="D82" s="221">
        <f t="shared" si="30"/>
        <v>3</v>
      </c>
      <c r="E82" s="221">
        <f t="shared" si="30"/>
        <v>4</v>
      </c>
      <c r="F82" s="221">
        <f t="shared" si="30"/>
        <v>5</v>
      </c>
      <c r="G82" s="221">
        <f t="shared" si="30"/>
        <v>6</v>
      </c>
      <c r="H82" s="221">
        <f t="shared" si="30"/>
        <v>7</v>
      </c>
      <c r="I82" s="221">
        <f t="shared" si="30"/>
        <v>8</v>
      </c>
      <c r="J82" s="221">
        <f t="shared" si="30"/>
        <v>9</v>
      </c>
      <c r="K82" s="221">
        <f t="shared" si="30"/>
        <v>10</v>
      </c>
      <c r="L82" s="221">
        <f t="shared" si="30"/>
        <v>11</v>
      </c>
      <c r="M82" s="221">
        <f t="shared" si="30"/>
        <v>12</v>
      </c>
      <c r="N82" s="221">
        <f t="shared" si="30"/>
        <v>13</v>
      </c>
      <c r="O82" s="221">
        <f t="shared" si="30"/>
        <v>14</v>
      </c>
      <c r="P82" s="221">
        <f t="shared" si="30"/>
        <v>15</v>
      </c>
      <c r="Q82" s="221">
        <f t="shared" si="30"/>
        <v>16</v>
      </c>
      <c r="R82" s="221">
        <f t="shared" si="30"/>
        <v>17</v>
      </c>
      <c r="S82" s="221">
        <f t="shared" si="30"/>
        <v>18</v>
      </c>
      <c r="T82" s="221">
        <f t="shared" si="30"/>
        <v>19</v>
      </c>
      <c r="U82" s="222">
        <f t="shared" si="30"/>
        <v>20</v>
      </c>
      <c r="AE82" s="5">
        <f>IF(T57="",0,IF(AF61&gt;=7,1,0))</f>
        <v>0</v>
      </c>
      <c r="AF82" s="5" t="s">
        <v>204</v>
      </c>
    </row>
    <row r="83" spans="1:32">
      <c r="A83" s="223">
        <v>1</v>
      </c>
      <c r="B83" s="224">
        <v>20.11</v>
      </c>
      <c r="C83" s="224">
        <v>20.12</v>
      </c>
      <c r="D83" s="224">
        <v>20.11</v>
      </c>
      <c r="E83" s="224">
        <v>20.12</v>
      </c>
      <c r="F83" s="224">
        <v>20.11</v>
      </c>
      <c r="G83" s="224">
        <v>20.11</v>
      </c>
      <c r="H83" s="224">
        <v>20.12</v>
      </c>
      <c r="I83" s="224">
        <v>20.1</v>
      </c>
      <c r="J83" s="224">
        <v>20.12</v>
      </c>
      <c r="K83" s="224">
        <v>20.11</v>
      </c>
      <c r="L83" s="224">
        <v>20.12</v>
      </c>
      <c r="M83" s="224">
        <v>20.1</v>
      </c>
      <c r="N83" s="224">
        <v>20.12</v>
      </c>
      <c r="O83" s="224">
        <v>20.12</v>
      </c>
      <c r="P83" s="224">
        <v>20.11</v>
      </c>
      <c r="Q83" s="224">
        <v>20.12</v>
      </c>
      <c r="R83" s="224">
        <v>20.12</v>
      </c>
      <c r="S83" s="224">
        <v>20.1</v>
      </c>
      <c r="T83" s="224">
        <v>20.12</v>
      </c>
      <c r="U83" s="224">
        <v>20.13</v>
      </c>
      <c r="V83" s="5">
        <f t="shared" ref="V83:Z92" si="31">IF(B96,B96,"")</f>
        <v>20.11</v>
      </c>
      <c r="W83" s="5">
        <f t="shared" si="31"/>
        <v>20.12</v>
      </c>
      <c r="X83" s="5">
        <f t="shared" si="31"/>
        <v>20.11</v>
      </c>
      <c r="Y83" s="5">
        <f t="shared" si="31"/>
        <v>20.12</v>
      </c>
      <c r="Z83" s="5">
        <f t="shared" si="31"/>
        <v>20.11</v>
      </c>
      <c r="AE83" s="5">
        <f>IF(T57="",0,IF(AF62&gt;=7,1,0))</f>
        <v>1</v>
      </c>
      <c r="AF83" s="5" t="s">
        <v>205</v>
      </c>
    </row>
    <row r="84" spans="1:32">
      <c r="A84" s="223">
        <v>2</v>
      </c>
      <c r="B84" s="224">
        <v>20.11</v>
      </c>
      <c r="C84" s="224">
        <v>20.12</v>
      </c>
      <c r="D84" s="224">
        <v>20.12</v>
      </c>
      <c r="E84" s="224">
        <v>20.11</v>
      </c>
      <c r="F84" s="224">
        <v>20.12</v>
      </c>
      <c r="G84" s="224">
        <v>20.12</v>
      </c>
      <c r="H84" s="224">
        <v>20.11</v>
      </c>
      <c r="I84" s="224">
        <v>20.11</v>
      </c>
      <c r="J84" s="224">
        <v>20.11</v>
      </c>
      <c r="K84" s="224">
        <v>20.12</v>
      </c>
      <c r="L84" s="224">
        <v>20.11</v>
      </c>
      <c r="M84" s="224">
        <v>20.12</v>
      </c>
      <c r="N84" s="224">
        <v>20.12</v>
      </c>
      <c r="O84" s="224">
        <v>20.11</v>
      </c>
      <c r="P84" s="224">
        <v>20.12</v>
      </c>
      <c r="Q84" s="224">
        <v>20.1</v>
      </c>
      <c r="R84" s="224">
        <v>20.12</v>
      </c>
      <c r="S84" s="224">
        <v>20.12</v>
      </c>
      <c r="T84" s="224">
        <v>20.12</v>
      </c>
      <c r="U84" s="224">
        <v>20.12</v>
      </c>
      <c r="V84" s="5">
        <f t="shared" si="31"/>
        <v>20.12</v>
      </c>
      <c r="W84" s="5">
        <f t="shared" si="31"/>
        <v>20.12</v>
      </c>
      <c r="X84" s="5">
        <f t="shared" si="31"/>
        <v>20.11</v>
      </c>
      <c r="Y84" s="5">
        <f t="shared" si="31"/>
        <v>20.12</v>
      </c>
      <c r="Z84" s="5">
        <f t="shared" si="31"/>
        <v>20.11</v>
      </c>
      <c r="AC84" s="5">
        <f>SUM(AC71:AC83)</f>
        <v>184</v>
      </c>
      <c r="AD84" s="5">
        <f>SUM(AD71:AD83)</f>
        <v>166</v>
      </c>
      <c r="AE84" s="5">
        <f ca="1">SUM(AE71:AE83)</f>
        <v>2</v>
      </c>
      <c r="AF84" s="5" t="s">
        <v>206</v>
      </c>
    </row>
    <row r="85" spans="1:32">
      <c r="A85" s="223">
        <f>IF($N$3&gt;2,3,"")</f>
        <v>3</v>
      </c>
      <c r="B85" s="224">
        <v>20.12</v>
      </c>
      <c r="C85" s="224">
        <v>20.12</v>
      </c>
      <c r="D85" s="224">
        <v>20.12</v>
      </c>
      <c r="E85" s="224">
        <v>20.12</v>
      </c>
      <c r="F85" s="224">
        <v>20.12</v>
      </c>
      <c r="G85" s="224">
        <v>20.11</v>
      </c>
      <c r="H85" s="224">
        <v>20.11</v>
      </c>
      <c r="I85" s="224">
        <v>20.11</v>
      </c>
      <c r="J85" s="224">
        <v>20.12</v>
      </c>
      <c r="K85" s="224">
        <v>20.12</v>
      </c>
      <c r="L85" s="224">
        <v>20.11</v>
      </c>
      <c r="M85" s="224">
        <v>20.12</v>
      </c>
      <c r="N85" s="224">
        <v>20.12</v>
      </c>
      <c r="O85" s="224">
        <v>20.12</v>
      </c>
      <c r="P85" s="224">
        <v>20.12</v>
      </c>
      <c r="Q85" s="224">
        <v>20.12</v>
      </c>
      <c r="R85" s="224">
        <v>20.12</v>
      </c>
      <c r="S85" s="224">
        <v>20.12</v>
      </c>
      <c r="T85" s="224">
        <v>20.12</v>
      </c>
      <c r="U85" s="224">
        <v>20.11</v>
      </c>
      <c r="V85" s="5">
        <f t="shared" si="31"/>
        <v>20.12</v>
      </c>
      <c r="W85" s="5">
        <f t="shared" si="31"/>
        <v>20.11</v>
      </c>
      <c r="X85" s="5">
        <f t="shared" si="31"/>
        <v>20.12</v>
      </c>
      <c r="Y85" s="5">
        <f t="shared" si="31"/>
        <v>20.12</v>
      </c>
      <c r="Z85" s="5">
        <f t="shared" si="31"/>
        <v>20.12</v>
      </c>
      <c r="AE85" s="5" t="s">
        <v>207</v>
      </c>
    </row>
    <row r="86" spans="1:32">
      <c r="A86" s="223">
        <f>IF($N$3&gt;3,4,"")</f>
        <v>4</v>
      </c>
      <c r="B86" s="224">
        <v>20.12</v>
      </c>
      <c r="C86" s="224">
        <v>20.11</v>
      </c>
      <c r="D86" s="224">
        <v>20.12</v>
      </c>
      <c r="E86" s="224">
        <v>20.11</v>
      </c>
      <c r="F86" s="224">
        <v>20.11</v>
      </c>
      <c r="G86" s="224">
        <v>20.12</v>
      </c>
      <c r="H86" s="224">
        <v>20.11</v>
      </c>
      <c r="I86" s="224">
        <v>20.11</v>
      </c>
      <c r="J86" s="224">
        <v>20.11</v>
      </c>
      <c r="K86" s="224">
        <v>20.11</v>
      </c>
      <c r="L86" s="224">
        <v>20.12</v>
      </c>
      <c r="M86" s="224">
        <v>20.12</v>
      </c>
      <c r="N86" s="224">
        <v>20.11</v>
      </c>
      <c r="O86" s="224">
        <v>20.11</v>
      </c>
      <c r="P86" s="224">
        <v>20.11</v>
      </c>
      <c r="Q86" s="224">
        <v>20.11</v>
      </c>
      <c r="R86" s="224">
        <v>20.12</v>
      </c>
      <c r="S86" s="224">
        <v>20.12</v>
      </c>
      <c r="T86" s="224">
        <v>20.11</v>
      </c>
      <c r="U86" s="224">
        <v>20.11</v>
      </c>
      <c r="V86" s="5">
        <f t="shared" si="31"/>
        <v>20.1</v>
      </c>
      <c r="W86" s="5">
        <f t="shared" si="31"/>
        <v>20.12</v>
      </c>
      <c r="X86" s="5">
        <f t="shared" si="31"/>
        <v>20.12</v>
      </c>
      <c r="Y86" s="5">
        <f t="shared" si="31"/>
        <v>20.11</v>
      </c>
      <c r="Z86" s="5">
        <f t="shared" si="31"/>
        <v>20.12</v>
      </c>
      <c r="AF86" s="5" t="str">
        <f>IF(AE71,AF71,"")</f>
        <v/>
      </c>
    </row>
    <row r="87" spans="1:32">
      <c r="A87" s="223">
        <f>IF($N$3&gt;4,5,"")</f>
        <v>5</v>
      </c>
      <c r="B87" s="224">
        <v>20.11</v>
      </c>
      <c r="C87" s="224">
        <v>20.12</v>
      </c>
      <c r="D87" s="224">
        <v>20.11</v>
      </c>
      <c r="E87" s="224">
        <v>20.11</v>
      </c>
      <c r="F87" s="224">
        <v>20.12</v>
      </c>
      <c r="G87" s="224">
        <v>20.12</v>
      </c>
      <c r="H87" s="224">
        <v>20.11</v>
      </c>
      <c r="I87" s="224">
        <v>20.12</v>
      </c>
      <c r="J87" s="224">
        <v>20.13</v>
      </c>
      <c r="K87" s="224">
        <v>20.12</v>
      </c>
      <c r="L87" s="224">
        <v>20.12</v>
      </c>
      <c r="M87" s="224">
        <v>20.12</v>
      </c>
      <c r="N87" s="224">
        <v>20.11</v>
      </c>
      <c r="O87" s="224">
        <v>20.13</v>
      </c>
      <c r="P87" s="224">
        <v>20.12</v>
      </c>
      <c r="Q87" s="224">
        <v>20.11</v>
      </c>
      <c r="R87" s="224">
        <v>20.11</v>
      </c>
      <c r="S87" s="224">
        <v>20.12</v>
      </c>
      <c r="T87" s="224">
        <v>20.11</v>
      </c>
      <c r="U87" s="224">
        <v>20.11</v>
      </c>
      <c r="V87" s="5">
        <f t="shared" si="31"/>
        <v>20.12</v>
      </c>
      <c r="W87" s="5">
        <f t="shared" si="31"/>
        <v>20.11</v>
      </c>
      <c r="X87" s="5">
        <f t="shared" si="31"/>
        <v>20.11</v>
      </c>
      <c r="Y87" s="5">
        <f t="shared" si="31"/>
        <v>20.12</v>
      </c>
      <c r="Z87" s="5">
        <f t="shared" si="31"/>
        <v>20.11</v>
      </c>
      <c r="AF87" s="5" t="str">
        <f>IF(AE72,CONCATENATE(AF86,AF72),AF86)</f>
        <v/>
      </c>
    </row>
    <row r="88" spans="1:32">
      <c r="A88" s="225" t="str">
        <f>IF($N$3&gt;5,6,"")</f>
        <v/>
      </c>
      <c r="B88" s="226"/>
      <c r="C88" s="226"/>
      <c r="D88" s="226"/>
      <c r="E88" s="226"/>
      <c r="F88" s="226"/>
      <c r="G88" s="226"/>
      <c r="H88" s="226"/>
      <c r="I88" s="226"/>
      <c r="J88" s="226"/>
      <c r="K88" s="226"/>
      <c r="L88" s="226"/>
      <c r="M88" s="226"/>
      <c r="N88" s="226"/>
      <c r="O88" s="226"/>
      <c r="P88" s="226"/>
      <c r="Q88" s="226"/>
      <c r="R88" s="226"/>
      <c r="S88" s="226"/>
      <c r="T88" s="226"/>
      <c r="U88" s="227"/>
      <c r="V88" s="5" t="str">
        <f t="shared" si="31"/>
        <v/>
      </c>
      <c r="W88" s="5" t="str">
        <f t="shared" si="31"/>
        <v/>
      </c>
      <c r="X88" s="5" t="str">
        <f t="shared" si="31"/>
        <v/>
      </c>
      <c r="Y88" s="5" t="str">
        <f t="shared" si="31"/>
        <v/>
      </c>
      <c r="Z88" s="5" t="str">
        <f t="shared" si="31"/>
        <v/>
      </c>
      <c r="AF88" s="5" t="str">
        <f ca="1">IF(AE73,CONCATENATE(AF87,AF73),AF87)</f>
        <v/>
      </c>
    </row>
    <row r="89" spans="1:32">
      <c r="A89" s="225" t="str">
        <f>IF($N$3&gt;6,7,"")</f>
        <v/>
      </c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  <c r="M89" s="224"/>
      <c r="N89" s="224"/>
      <c r="O89" s="224"/>
      <c r="P89" s="224"/>
      <c r="Q89" s="224"/>
      <c r="R89" s="224"/>
      <c r="S89" s="224"/>
      <c r="T89" s="224"/>
      <c r="U89" s="228"/>
      <c r="V89" s="5" t="str">
        <f t="shared" si="31"/>
        <v/>
      </c>
      <c r="W89" s="5" t="str">
        <f t="shared" si="31"/>
        <v/>
      </c>
      <c r="X89" s="5" t="str">
        <f t="shared" si="31"/>
        <v/>
      </c>
      <c r="Y89" s="5" t="str">
        <f t="shared" si="31"/>
        <v/>
      </c>
      <c r="Z89" s="5" t="str">
        <f t="shared" si="31"/>
        <v/>
      </c>
      <c r="AF89" s="5" t="str">
        <f ca="1">IF(AE74,CONCATENATE(AF88,AF74),AF88)</f>
        <v/>
      </c>
    </row>
    <row r="90" spans="1:32">
      <c r="A90" s="225" t="str">
        <f>IF($N$3&gt;7,8,"")</f>
        <v/>
      </c>
      <c r="B90" s="224"/>
      <c r="C90" s="224"/>
      <c r="D90" s="224"/>
      <c r="E90" s="224"/>
      <c r="F90" s="224"/>
      <c r="G90" s="224"/>
      <c r="H90" s="224"/>
      <c r="I90" s="224"/>
      <c r="J90" s="224"/>
      <c r="K90" s="224"/>
      <c r="L90" s="224"/>
      <c r="M90" s="224"/>
      <c r="N90" s="224"/>
      <c r="O90" s="224"/>
      <c r="P90" s="224"/>
      <c r="Q90" s="224"/>
      <c r="R90" s="224"/>
      <c r="S90" s="224"/>
      <c r="T90" s="224"/>
      <c r="U90" s="228"/>
      <c r="V90" s="5" t="str">
        <f t="shared" si="31"/>
        <v/>
      </c>
      <c r="W90" s="5" t="str">
        <f t="shared" si="31"/>
        <v/>
      </c>
      <c r="X90" s="5" t="str">
        <f t="shared" si="31"/>
        <v/>
      </c>
      <c r="Y90" s="5" t="str">
        <f t="shared" si="31"/>
        <v/>
      </c>
      <c r="Z90" s="5" t="str">
        <f t="shared" si="31"/>
        <v/>
      </c>
      <c r="AF90" s="5" t="str">
        <f ca="1">IF(AE75,CONCATENATE(AF89,AF75),AF89)</f>
        <v/>
      </c>
    </row>
    <row r="91" spans="1:32">
      <c r="A91" s="225" t="str">
        <f>IF($N$3&gt;8,9,"")</f>
        <v/>
      </c>
      <c r="B91" s="224"/>
      <c r="C91" s="224"/>
      <c r="D91" s="224"/>
      <c r="E91" s="224"/>
      <c r="F91" s="224"/>
      <c r="G91" s="224"/>
      <c r="H91" s="224"/>
      <c r="I91" s="224"/>
      <c r="J91" s="224"/>
      <c r="K91" s="224"/>
      <c r="L91" s="224"/>
      <c r="M91" s="224"/>
      <c r="N91" s="224"/>
      <c r="O91" s="224"/>
      <c r="P91" s="224"/>
      <c r="Q91" s="224"/>
      <c r="R91" s="224"/>
      <c r="S91" s="224"/>
      <c r="T91" s="224"/>
      <c r="U91" s="228"/>
      <c r="V91" s="5" t="str">
        <f t="shared" si="31"/>
        <v/>
      </c>
      <c r="W91" s="5" t="str">
        <f t="shared" si="31"/>
        <v/>
      </c>
      <c r="X91" s="5" t="str">
        <f t="shared" si="31"/>
        <v/>
      </c>
      <c r="Y91" s="5" t="str">
        <f t="shared" si="31"/>
        <v/>
      </c>
      <c r="Z91" s="5" t="str">
        <f t="shared" si="31"/>
        <v/>
      </c>
      <c r="AF91" s="5" t="str">
        <f ca="1">IF(AE76,CONCATENATE(AF90,AF76),AF90)</f>
        <v/>
      </c>
    </row>
    <row r="92" ht="13.5" spans="1:32">
      <c r="A92" s="229" t="str">
        <f>IF($N$3&gt;9,10,"")</f>
        <v/>
      </c>
      <c r="B92" s="224"/>
      <c r="C92" s="224"/>
      <c r="D92" s="224"/>
      <c r="E92" s="224"/>
      <c r="F92" s="224"/>
      <c r="G92" s="224"/>
      <c r="H92" s="224"/>
      <c r="I92" s="224"/>
      <c r="J92" s="224"/>
      <c r="K92" s="224"/>
      <c r="L92" s="224"/>
      <c r="M92" s="224"/>
      <c r="N92" s="224"/>
      <c r="O92" s="224"/>
      <c r="P92" s="224"/>
      <c r="Q92" s="224"/>
      <c r="R92" s="224"/>
      <c r="S92" s="224"/>
      <c r="T92" s="224"/>
      <c r="U92" s="228"/>
      <c r="V92" s="5" t="str">
        <f t="shared" si="31"/>
        <v/>
      </c>
      <c r="W92" s="5" t="str">
        <f t="shared" si="31"/>
        <v/>
      </c>
      <c r="X92" s="5" t="str">
        <f t="shared" si="31"/>
        <v/>
      </c>
      <c r="Y92" s="5" t="str">
        <f t="shared" si="31"/>
        <v/>
      </c>
      <c r="Z92" s="5" t="str">
        <f t="shared" si="31"/>
        <v/>
      </c>
      <c r="AF92" s="5" t="str">
        <f>IF(AE77,AF77,"")</f>
        <v/>
      </c>
    </row>
    <row r="93" spans="1:32">
      <c r="A93" s="230" t="s">
        <v>208</v>
      </c>
      <c r="B93" s="231">
        <f t="shared" ref="B93:Z93" si="32">IF(SUM(B83:B92)&lt;&gt;0,AVERAGE(B83:B92),"")</f>
        <v>20.114</v>
      </c>
      <c r="C93" s="231">
        <f t="shared" si="32"/>
        <v>20.118</v>
      </c>
      <c r="D93" s="231">
        <f t="shared" si="32"/>
        <v>20.116</v>
      </c>
      <c r="E93" s="231">
        <f t="shared" si="32"/>
        <v>20.114</v>
      </c>
      <c r="F93" s="231">
        <f t="shared" si="32"/>
        <v>20.116</v>
      </c>
      <c r="G93" s="231">
        <f t="shared" si="32"/>
        <v>20.116</v>
      </c>
      <c r="H93" s="231">
        <f t="shared" si="32"/>
        <v>20.112</v>
      </c>
      <c r="I93" s="231">
        <f t="shared" si="32"/>
        <v>20.11</v>
      </c>
      <c r="J93" s="231">
        <f t="shared" si="32"/>
        <v>20.118</v>
      </c>
      <c r="K93" s="231">
        <f t="shared" si="32"/>
        <v>20.116</v>
      </c>
      <c r="L93" s="231">
        <f t="shared" si="32"/>
        <v>20.116</v>
      </c>
      <c r="M93" s="231">
        <f t="shared" si="32"/>
        <v>20.116</v>
      </c>
      <c r="N93" s="231">
        <f t="shared" si="32"/>
        <v>20.116</v>
      </c>
      <c r="O93" s="231">
        <f t="shared" si="32"/>
        <v>20.118</v>
      </c>
      <c r="P93" s="231">
        <f t="shared" si="32"/>
        <v>20.116</v>
      </c>
      <c r="Q93" s="231">
        <f t="shared" si="32"/>
        <v>20.112</v>
      </c>
      <c r="R93" s="231">
        <f t="shared" si="32"/>
        <v>20.118</v>
      </c>
      <c r="S93" s="231">
        <f t="shared" si="32"/>
        <v>20.116</v>
      </c>
      <c r="T93" s="231">
        <f t="shared" si="32"/>
        <v>20.116</v>
      </c>
      <c r="U93" s="232">
        <f t="shared" si="32"/>
        <v>20.116</v>
      </c>
      <c r="V93" s="5">
        <f t="shared" si="32"/>
        <v>20.114</v>
      </c>
      <c r="W93" s="5">
        <f t="shared" si="32"/>
        <v>20.116</v>
      </c>
      <c r="X93" s="5">
        <f t="shared" si="32"/>
        <v>20.114</v>
      </c>
      <c r="Y93" s="5">
        <f t="shared" si="32"/>
        <v>20.118</v>
      </c>
      <c r="Z93" s="5">
        <f t="shared" si="32"/>
        <v>20.114</v>
      </c>
      <c r="AF93" s="5" t="str">
        <f>IF(AE78,CONCATENATE(AF92,AF78),AF92)</f>
        <v/>
      </c>
    </row>
    <row r="94" ht="13.5" spans="1:32">
      <c r="A94" s="233" t="s">
        <v>209</v>
      </c>
      <c r="B94" s="234">
        <f t="shared" ref="B94:Z94" si="33">IF(SUM(B83:B92)=0,"",MAX(B83:B92)-MIN(B83:B92))</f>
        <v>0.0100000000000016</v>
      </c>
      <c r="C94" s="234">
        <f t="shared" si="33"/>
        <v>0.0100000000000016</v>
      </c>
      <c r="D94" s="234">
        <f t="shared" si="33"/>
        <v>0.0100000000000016</v>
      </c>
      <c r="E94" s="234">
        <f t="shared" si="33"/>
        <v>0.0100000000000016</v>
      </c>
      <c r="F94" s="234">
        <f t="shared" si="33"/>
        <v>0.0100000000000016</v>
      </c>
      <c r="G94" s="234">
        <f t="shared" si="33"/>
        <v>0.0100000000000016</v>
      </c>
      <c r="H94" s="234">
        <f t="shared" si="33"/>
        <v>0.0100000000000016</v>
      </c>
      <c r="I94" s="234">
        <f t="shared" si="33"/>
        <v>0.0199999999999996</v>
      </c>
      <c r="J94" s="234">
        <f t="shared" si="33"/>
        <v>0.0199999999999996</v>
      </c>
      <c r="K94" s="234">
        <f t="shared" si="33"/>
        <v>0.0100000000000016</v>
      </c>
      <c r="L94" s="234">
        <f t="shared" si="33"/>
        <v>0.0100000000000016</v>
      </c>
      <c r="M94" s="234">
        <f t="shared" si="33"/>
        <v>0.0199999999999996</v>
      </c>
      <c r="N94" s="234">
        <f t="shared" si="33"/>
        <v>0.0100000000000016</v>
      </c>
      <c r="O94" s="234">
        <f t="shared" si="33"/>
        <v>0.0199999999999996</v>
      </c>
      <c r="P94" s="234">
        <f t="shared" si="33"/>
        <v>0.0100000000000016</v>
      </c>
      <c r="Q94" s="234">
        <f t="shared" si="33"/>
        <v>0.0199999999999996</v>
      </c>
      <c r="R94" s="234">
        <f t="shared" si="33"/>
        <v>0.0100000000000016</v>
      </c>
      <c r="S94" s="234">
        <f t="shared" si="33"/>
        <v>0.0199999999999996</v>
      </c>
      <c r="T94" s="234">
        <f t="shared" si="33"/>
        <v>0.0100000000000016</v>
      </c>
      <c r="U94" s="235">
        <f t="shared" si="33"/>
        <v>0.0199999999999996</v>
      </c>
      <c r="V94" s="5">
        <f t="shared" si="33"/>
        <v>0.0199999999999996</v>
      </c>
      <c r="W94" s="5">
        <f t="shared" si="33"/>
        <v>0.0100000000000016</v>
      </c>
      <c r="X94" s="5">
        <f t="shared" si="33"/>
        <v>0.0100000000000016</v>
      </c>
      <c r="Y94" s="5">
        <f t="shared" si="33"/>
        <v>0.0100000000000016</v>
      </c>
      <c r="Z94" s="5">
        <f t="shared" si="33"/>
        <v>0.0100000000000016</v>
      </c>
      <c r="AF94" s="5" t="str">
        <f>IF(AE79,CONCATENATE(AF93,AF79),AF93)</f>
        <v/>
      </c>
    </row>
    <row r="95" spans="1:32">
      <c r="A95" s="220" t="s">
        <v>30</v>
      </c>
      <c r="B95" s="236">
        <f>1+U82</f>
        <v>21</v>
      </c>
      <c r="C95" s="236">
        <f>1+B95</f>
        <v>22</v>
      </c>
      <c r="D95" s="236">
        <f>1+C95</f>
        <v>23</v>
      </c>
      <c r="E95" s="236">
        <f>1+D95</f>
        <v>24</v>
      </c>
      <c r="F95" s="237">
        <f>1+E95</f>
        <v>25</v>
      </c>
      <c r="G95" s="238"/>
      <c r="H95" s="238"/>
      <c r="I95" s="238"/>
      <c r="J95" s="238"/>
      <c r="K95" s="238"/>
      <c r="L95" s="239" t="s">
        <v>210</v>
      </c>
      <c r="M95" s="240" t="s">
        <v>201</v>
      </c>
      <c r="N95" s="240" t="s">
        <v>211</v>
      </c>
      <c r="O95" s="240" t="s">
        <v>212</v>
      </c>
      <c r="P95" s="240" t="s">
        <v>196</v>
      </c>
      <c r="Q95" s="241"/>
      <c r="R95" s="241"/>
      <c r="S95" s="241"/>
      <c r="T95" s="241"/>
      <c r="U95" s="242"/>
    </row>
    <row r="96" spans="1:32">
      <c r="A96" s="225">
        <v>1</v>
      </c>
      <c r="B96" s="224">
        <v>20.11</v>
      </c>
      <c r="C96" s="224">
        <v>20.12</v>
      </c>
      <c r="D96" s="224">
        <v>20.11</v>
      </c>
      <c r="E96" s="224">
        <v>20.12</v>
      </c>
      <c r="F96" s="224">
        <v>20.11</v>
      </c>
      <c r="G96" s="243" t="str">
        <f>IF(COUNT(B93:Z93)&lt;25,"不到25个子组，在X — R 图上最后的数据不反映实际状况Less than 25 subgroups, last data point on X &amp; R chart are not actual readings","")</f>
        <v/>
      </c>
      <c r="H96" s="244"/>
      <c r="I96" s="244"/>
      <c r="J96" s="244"/>
      <c r="K96" s="244"/>
      <c r="L96" s="244"/>
      <c r="M96" s="244"/>
      <c r="N96" s="245"/>
      <c r="O96" s="244"/>
      <c r="P96" s="244"/>
      <c r="Q96" s="244"/>
      <c r="R96" s="244"/>
      <c r="S96" s="244"/>
      <c r="T96" s="244"/>
      <c r="U96" s="246"/>
    </row>
    <row r="97" spans="1:31">
      <c r="A97" s="225">
        <v>2</v>
      </c>
      <c r="B97" s="224">
        <v>20.12</v>
      </c>
      <c r="C97" s="224">
        <v>20.12</v>
      </c>
      <c r="D97" s="224">
        <v>20.11</v>
      </c>
      <c r="E97" s="224">
        <v>20.12</v>
      </c>
      <c r="F97" s="224">
        <v>20.11</v>
      </c>
      <c r="G97" s="247" t="str">
        <f ca="1">IF(T57="","",IF(AF91&lt;&gt;"",AF91,""))</f>
        <v/>
      </c>
      <c r="H97" s="248"/>
      <c r="I97" s="248"/>
      <c r="J97" s="248"/>
      <c r="K97" s="248"/>
      <c r="L97" s="248"/>
      <c r="M97" s="248"/>
      <c r="N97" s="248"/>
      <c r="O97" s="248"/>
      <c r="P97" s="248"/>
      <c r="Q97" s="248"/>
      <c r="R97" s="248"/>
      <c r="S97" s="248"/>
      <c r="T97" s="248"/>
      <c r="U97" s="249"/>
      <c r="AE97" s="5" t="s">
        <v>213</v>
      </c>
    </row>
    <row r="98" spans="1:31">
      <c r="A98" s="225">
        <f>IF($N$3&gt;2,3,"")</f>
        <v>3</v>
      </c>
      <c r="B98" s="224">
        <v>20.12</v>
      </c>
      <c r="C98" s="224">
        <v>20.11</v>
      </c>
      <c r="D98" s="224">
        <v>20.12</v>
      </c>
      <c r="E98" s="224">
        <v>20.12</v>
      </c>
      <c r="F98" s="224">
        <v>20.12</v>
      </c>
      <c r="G98" s="247" t="str">
        <f>IF(T58="","",IF(AF94&lt;&gt;"",AF94,""))</f>
        <v/>
      </c>
      <c r="H98" s="244"/>
      <c r="I98" s="244"/>
      <c r="J98" s="244"/>
      <c r="K98" s="244"/>
      <c r="L98" s="244"/>
      <c r="M98" s="244"/>
      <c r="N98" s="244"/>
      <c r="O98" s="244"/>
      <c r="P98" s="244"/>
      <c r="Q98" s="244"/>
      <c r="R98" s="244"/>
      <c r="S98" s="244"/>
      <c r="T98" s="244"/>
      <c r="U98" s="246"/>
    </row>
    <row r="99" spans="1:31">
      <c r="A99" s="225">
        <f>IF($N$3&gt;3,4,"")</f>
        <v>4</v>
      </c>
      <c r="B99" s="224">
        <v>20.1</v>
      </c>
      <c r="C99" s="224">
        <v>20.12</v>
      </c>
      <c r="D99" s="224">
        <v>20.12</v>
      </c>
      <c r="E99" s="224">
        <v>20.11</v>
      </c>
      <c r="F99" s="224">
        <v>20.12</v>
      </c>
      <c r="G99" s="250"/>
      <c r="H99" s="244"/>
      <c r="I99" s="244"/>
      <c r="J99" s="244"/>
      <c r="K99" s="244"/>
      <c r="L99" s="244"/>
      <c r="M99" s="244"/>
      <c r="N99" s="244"/>
      <c r="O99" s="244"/>
      <c r="P99" s="244"/>
      <c r="Q99" s="244"/>
      <c r="R99" s="244"/>
      <c r="S99" s="244"/>
      <c r="T99" s="244"/>
      <c r="U99" s="246"/>
    </row>
    <row r="100" spans="1:31">
      <c r="A100" s="225">
        <f>IF($N$3&gt;4,5,"")</f>
        <v>5</v>
      </c>
      <c r="B100" s="224">
        <v>20.12</v>
      </c>
      <c r="C100" s="224">
        <v>20.11</v>
      </c>
      <c r="D100" s="224">
        <v>20.11</v>
      </c>
      <c r="E100" s="224">
        <v>20.12</v>
      </c>
      <c r="F100" s="228">
        <v>20.11</v>
      </c>
      <c r="G100" s="250" t="s">
        <v>58</v>
      </c>
      <c r="H100" s="244"/>
      <c r="I100" s="244"/>
      <c r="J100" s="244"/>
      <c r="K100" s="244"/>
      <c r="L100" s="244"/>
      <c r="M100" s="244"/>
      <c r="N100" s="244"/>
      <c r="O100" s="244"/>
      <c r="P100" s="244"/>
      <c r="Q100" s="244"/>
      <c r="R100" s="244"/>
      <c r="S100" s="244"/>
      <c r="T100" s="244"/>
      <c r="U100" s="246"/>
    </row>
    <row r="101" spans="1:31">
      <c r="A101" s="225" t="str">
        <f>IF($N$3&gt;5,6,"")</f>
        <v/>
      </c>
      <c r="B101" s="226"/>
      <c r="C101" s="226"/>
      <c r="D101" s="226"/>
      <c r="E101" s="226"/>
      <c r="F101" s="227"/>
      <c r="G101" s="250"/>
      <c r="H101" s="244"/>
      <c r="I101" s="244"/>
      <c r="J101" s="244"/>
      <c r="K101" s="244"/>
      <c r="L101" s="244"/>
      <c r="M101" s="244"/>
      <c r="N101" s="244"/>
      <c r="O101" s="244"/>
      <c r="P101" s="244"/>
      <c r="Q101" s="244"/>
      <c r="R101" s="244"/>
      <c r="S101" s="244"/>
      <c r="T101" s="244"/>
      <c r="U101" s="246"/>
    </row>
    <row r="102" spans="1:31">
      <c r="A102" s="225" t="str">
        <f>IF($N$3&gt;6,7,"")</f>
        <v/>
      </c>
      <c r="B102" s="224"/>
      <c r="C102" s="224"/>
      <c r="D102" s="224"/>
      <c r="E102" s="224"/>
      <c r="F102" s="228"/>
      <c r="G102" s="250"/>
      <c r="H102" s="244"/>
      <c r="I102" s="244"/>
      <c r="J102" s="244"/>
      <c r="K102" s="244"/>
      <c r="L102" s="244"/>
      <c r="M102" s="244"/>
      <c r="N102" s="244"/>
      <c r="O102" s="244"/>
      <c r="P102" s="244"/>
      <c r="Q102" s="244"/>
      <c r="R102" s="244"/>
      <c r="S102" s="244"/>
      <c r="T102" s="244"/>
      <c r="U102" s="246"/>
    </row>
    <row r="103" spans="1:31">
      <c r="A103" s="225" t="str">
        <f>IF($N$3&gt;7,8,"")</f>
        <v/>
      </c>
      <c r="B103" s="224"/>
      <c r="C103" s="224"/>
      <c r="D103" s="224"/>
      <c r="E103" s="224"/>
      <c r="F103" s="228"/>
      <c r="G103" s="250"/>
      <c r="H103" s="244"/>
      <c r="I103" s="244"/>
      <c r="J103" s="244"/>
      <c r="K103" s="244"/>
      <c r="L103" s="244"/>
      <c r="M103" s="244"/>
      <c r="N103" s="244"/>
      <c r="O103" s="244"/>
      <c r="P103" s="244"/>
      <c r="Q103" s="244"/>
      <c r="R103" s="244"/>
      <c r="S103" s="244"/>
      <c r="T103" s="244"/>
      <c r="U103" s="246"/>
    </row>
    <row r="104" spans="1:31">
      <c r="A104" s="225" t="str">
        <f>IF($N$3&gt;8,9,"")</f>
        <v/>
      </c>
      <c r="B104" s="224"/>
      <c r="C104" s="224"/>
      <c r="D104" s="224"/>
      <c r="E104" s="224"/>
      <c r="F104" s="228"/>
      <c r="G104" s="250"/>
      <c r="H104" s="244"/>
      <c r="I104" s="244"/>
      <c r="J104" s="244"/>
      <c r="K104" s="244"/>
      <c r="L104" s="244"/>
      <c r="M104" s="244"/>
      <c r="N104" s="244"/>
      <c r="O104" s="244"/>
      <c r="P104" s="244"/>
      <c r="Q104" s="244"/>
      <c r="R104" s="244"/>
      <c r="S104" s="244"/>
      <c r="T104" s="244"/>
      <c r="U104" s="246"/>
    </row>
    <row r="105" ht="13.5" spans="1:31">
      <c r="A105" s="229" t="str">
        <f>IF($N$3&gt;9,10,"")</f>
        <v/>
      </c>
      <c r="B105" s="224"/>
      <c r="C105" s="224"/>
      <c r="D105" s="224"/>
      <c r="E105" s="224"/>
      <c r="F105" s="228"/>
      <c r="G105" s="250"/>
      <c r="H105" s="244"/>
      <c r="I105" s="244"/>
      <c r="J105" s="244"/>
      <c r="K105" s="244"/>
      <c r="L105" s="244"/>
      <c r="M105" s="244"/>
      <c r="N105" s="244"/>
      <c r="O105" s="244"/>
      <c r="P105" s="244"/>
      <c r="Q105" s="244"/>
      <c r="R105" s="244"/>
      <c r="S105" s="244"/>
      <c r="T105" s="244"/>
      <c r="U105" s="246"/>
    </row>
    <row r="106" spans="1:31">
      <c r="A106" s="230" t="s">
        <v>208</v>
      </c>
      <c r="B106" s="231">
        <f>IF(SUM(B96:B105)&lt;&gt;0,AVERAGE(B96:B105),"")</f>
        <v>20.114</v>
      </c>
      <c r="C106" s="231">
        <f>IF(SUM(C96:C105)&lt;&gt;0,AVERAGE(C96:C105),"")</f>
        <v>20.116</v>
      </c>
      <c r="D106" s="231">
        <f>IF(SUM(D96:D105)&lt;&gt;0,AVERAGE(D96:D105),"")</f>
        <v>20.114</v>
      </c>
      <c r="E106" s="231">
        <f>IF(SUM(E96:E105)&lt;&gt;0,AVERAGE(E96:E105),"")</f>
        <v>20.118</v>
      </c>
      <c r="F106" s="232">
        <f>IF(SUM(F96:F105)&lt;&gt;0,AVERAGE(F96:F105),"")</f>
        <v>20.114</v>
      </c>
      <c r="G106" s="250"/>
      <c r="H106" s="244"/>
      <c r="I106" s="244"/>
      <c r="J106" s="244"/>
      <c r="K106" s="244"/>
      <c r="L106" s="244"/>
      <c r="M106" s="244"/>
      <c r="N106" s="244"/>
      <c r="O106" s="244"/>
      <c r="P106" s="244"/>
      <c r="Q106" s="244"/>
      <c r="R106" s="244"/>
      <c r="S106" s="244"/>
      <c r="T106" s="244"/>
      <c r="U106" s="246"/>
    </row>
    <row r="107" ht="13.5" spans="1:31">
      <c r="A107" s="251" t="s">
        <v>209</v>
      </c>
      <c r="B107" s="252">
        <f>IF(SUM(B96:B105)=0,"",MAX(B96:B105)-MIN(B96:B105))</f>
        <v>0.0199999999999996</v>
      </c>
      <c r="C107" s="252">
        <f>IF(SUM(C96:C105)=0,"",MAX(C96:C105)-MIN(C96:C105))</f>
        <v>0.0100000000000016</v>
      </c>
      <c r="D107" s="252">
        <f>IF(SUM(D96:D105)=0,"",MAX(D96:D105)-MIN(D96:D105))</f>
        <v>0.0100000000000016</v>
      </c>
      <c r="E107" s="252">
        <f>IF(SUM(E96:E105)=0,"",MAX(E96:E105)-MIN(E96:E105))</f>
        <v>0.0100000000000016</v>
      </c>
      <c r="F107" s="253">
        <f>IF(SUM(F96:F105)=0,"",MAX(F96:F105)-MIN(F96:F105))</f>
        <v>0.0100000000000016</v>
      </c>
      <c r="G107" s="254"/>
      <c r="H107" s="255"/>
      <c r="I107" s="255"/>
      <c r="J107" s="255"/>
      <c r="K107" s="255"/>
      <c r="L107" s="255"/>
      <c r="M107" s="255"/>
      <c r="N107" s="255"/>
      <c r="O107" s="255"/>
      <c r="P107" s="255"/>
      <c r="Q107" s="255"/>
      <c r="R107" s="255"/>
      <c r="S107" s="255"/>
      <c r="T107" s="255"/>
      <c r="U107" s="256"/>
    </row>
  </sheetData>
  <sheetProtection password="FA47" sheet="1" objects="1" scenarios="1"/>
  <printOptions horizontalCentered="1" verticalCentered="1"/>
  <pageMargins left="0.236220472440945" right="0.236220472440945" top="0.236220472440945" bottom="0.236220472440945" header="0.236220472440945" footer="0.236220472440945"/>
  <pageSetup paperSize="1" scale="72" fitToHeight="2" orientation="landscape" horizontalDpi="300" verticalDpi="300"/>
  <headerFooter alignWithMargins="0">
    <oddFooter>&amp;LJCM-PLUS-FR-04-20-13-CH&amp;C
</oddFooter>
  </headerFooter>
  <rowBreaks count="1" manualBreakCount="1">
    <brk id="54" max="255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5409" name="Option Button 7" r:id="rId4">
              <controlPr defaultSize="0">
                <anchor moveWithCells="1">
                  <from>
                    <xdr:col>0</xdr:col>
                    <xdr:colOff>0</xdr:colOff>
                    <xdr:row>2</xdr:row>
                    <xdr:rowOff>28575</xdr:rowOff>
                  </from>
                  <to>
                    <xdr:col>2</xdr:col>
                    <xdr:colOff>571500</xdr:colOff>
                    <xdr:row>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410" name="Option Button 8" r:id="rId5">
              <controlPr locked="0" defaultSize="0">
                <anchor moveWithCells="1">
                  <from>
                    <xdr:col>2</xdr:col>
                    <xdr:colOff>571500</xdr:colOff>
                    <xdr:row>2</xdr:row>
                    <xdr:rowOff>28575</xdr:rowOff>
                  </from>
                  <to>
                    <xdr:col>5</xdr:col>
                    <xdr:colOff>504825</xdr:colOff>
                    <xdr:row>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411" name="Option Button 9" r:id="rId6">
              <controlPr locked="0" defaultSize="0">
                <anchor moveWithCells="1">
                  <from>
                    <xdr:col>6</xdr:col>
                    <xdr:colOff>0</xdr:colOff>
                    <xdr:row>2</xdr:row>
                    <xdr:rowOff>28575</xdr:rowOff>
                  </from>
                  <to>
                    <xdr:col>8</xdr:col>
                    <xdr:colOff>0</xdr:colOff>
                    <xdr:row>2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5" master="" otherUserPermission="visible"/>
  <rangeList sheetStid="2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syfjcsc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CC01_copy</vt:lpstr>
      <vt:lpstr>Cpk 01_1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maohaifeng</dc:creator>
  <cp:lastModifiedBy>Administrator</cp:lastModifiedBy>
  <dcterms:created xsi:type="dcterms:W3CDTF">2004-05-13T23:54:20Z</dcterms:created>
  <cp:lastPrinted>2023-02-27T10:35:43Z</cp:lastPrinted>
  <dcterms:modified xsi:type="dcterms:W3CDTF">2026-04-03T15:59:03Z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E34CBC93243D413B846D73CA54727EEB_13</vt:lpwstr>
  </property>
  <property fmtid="{D5CDD505-2E9C-101B-9397-08002B2CF9AE}" pid="3" name="KSOProductBuildVer">
    <vt:lpwstr>2052-12.1.0.25856</vt:lpwstr>
  </property>
  <property fmtid="{D5CDD505-2E9C-101B-9397-08002B2CF9AE}" pid="4" name="CalculationRule">
    <vt:i4>0</vt:i4>
  </property>
</Properties>
</file>